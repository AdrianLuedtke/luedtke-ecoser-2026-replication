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500" firstSheet="0" activeTab="0" autoFilterDateGrouping="1"/>
  </bookViews>
  <sheets>
    <sheet xmlns:r="http://schemas.openxmlformats.org/officeDocument/2006/relationships" name="S2_review_studies" sheetId="1" state="visible" r:id="rId1"/>
    <sheet xmlns:r="http://schemas.openxmlformats.org/officeDocument/2006/relationships" name="Counts" sheetId="2" state="visible" r:id="rId2"/>
  </sheets>
  <definedNames>
    <definedName name="_xlnm._FilterDatabase" localSheetId="0" hidden="1">'S2_review_studies'!$A$1:$O$123</definedName>
  </definedNames>
  <calcPr calcId="191029" fullCalcOnLoad="1" iterateDelta="0.0001"/>
</workbook>
</file>

<file path=xl/styles.xml><?xml version="1.0" encoding="utf-8"?>
<styleSheet xmlns="http://schemas.openxmlformats.org/spreadsheetml/2006/main">
  <numFmts count="0"/>
  <fonts count="5">
    <font>
      <name val="Calibri"/>
      <charset val="1"/>
      <family val="2"/>
      <color theme="1"/>
      <sz val="11"/>
    </font>
    <font>
      <name val="Arial"/>
      <charset val="1"/>
      <b val="1"/>
      <sz val="11"/>
    </font>
    <font>
      <name val="Arial"/>
      <charset val="1"/>
      <sz val="11"/>
    </font>
    <font>
      <name val="Arial"/>
      <charset val="1"/>
      <color rgb="FF888888"/>
      <sz val="11"/>
    </font>
    <font>
      <name val="Arial"/>
      <charset val="1"/>
      <color rgb="FF000000"/>
      <sz val="11"/>
    </font>
  </fonts>
  <fills count="4">
    <fill>
      <patternFill/>
    </fill>
    <fill>
      <patternFill patternType="gray125"/>
    </fill>
    <fill>
      <patternFill patternType="solid">
        <fgColor rgb="FFFFF2CC"/>
        <bgColor rgb="FFFFFFFF"/>
      </patternFill>
    </fill>
    <fill>
      <patternFill patternType="solid">
        <fgColor rgb="FFF8CBAD"/>
        <bgColor rgb="FFFFF2CC"/>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xf>
    <xf numFmtId="0" fontId="2" fillId="2" borderId="0" applyAlignment="1" pivotButton="0" quotePrefix="0" xfId="0">
      <alignment vertical="top"/>
    </xf>
    <xf numFmtId="0" fontId="3" fillId="0" borderId="0" applyAlignment="1" pivotButton="0" quotePrefix="0" xfId="0">
      <alignment vertical="top"/>
    </xf>
    <xf numFmtId="0" fontId="3" fillId="2" borderId="0" applyAlignment="1" pivotButton="0" quotePrefix="0" xfId="0">
      <alignment vertical="top"/>
    </xf>
    <xf numFmtId="0" fontId="4" fillId="0" borderId="0" applyAlignment="1" pivotButton="0" quotePrefix="0" xfId="0">
      <alignment vertical="top"/>
    </xf>
    <xf numFmtId="0" fontId="4" fillId="2" borderId="0" applyAlignment="1" pivotButton="0" quotePrefix="0" xfId="0">
      <alignment vertical="top"/>
    </xf>
    <xf numFmtId="0" fontId="3" fillId="3" borderId="0" applyAlignment="1" pivotButton="0" quotePrefix="0" xfId="0">
      <alignment vertical="top"/>
    </xf>
    <xf numFmtId="0" fontId="1" fillId="0" borderId="0" pivotButton="0" quotePrefix="0" xfId="0"/>
    <xf numFmtId="0" fontId="2" fillId="0" borderId="0" pivotButton="0" quotePrefix="0" xfId="0"/>
  </cellXfs>
  <cellStyles count="1">
    <cellStyle name="Standard"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88888"/>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N123"/>
  <sheetViews>
    <sheetView tabSelected="1" zoomScaleNormal="100" workbookViewId="0">
      <pane xSplit="2" ySplit="1" topLeftCell="C76" activePane="bottomRight" state="frozen"/>
      <selection pane="topRight" activeCell="C1" sqref="C1"/>
      <selection pane="bottomLeft" activeCell="A2" sqref="A2"/>
      <selection pane="bottomRight" activeCell="A116" sqref="A116"/>
    </sheetView>
  </sheetViews>
  <sheetFormatPr baseColWidth="10" defaultColWidth="8.6640625" defaultRowHeight="14.4"/>
  <cols>
    <col width="4" customWidth="1" min="1" max="1"/>
    <col width="14" customWidth="1" min="2" max="2"/>
    <col width="18" customWidth="1" min="3" max="3"/>
    <col width="6" customWidth="1" min="4" max="4"/>
    <col width="40" customWidth="1" min="5" max="5"/>
    <col width="60" customWidth="1" min="6" max="6"/>
    <col width="30" customWidth="1" min="7" max="7"/>
    <col width="26" customWidth="1" min="8" max="9"/>
    <col width="18" customWidth="1" min="10" max="10"/>
    <col width="14" customWidth="1" min="11" max="11"/>
    <col width="12" customWidth="1" min="12" max="12"/>
    <col width="34" customWidth="1" min="13" max="13"/>
    <col width="13" customWidth="1" min="14" max="14"/>
    <col width="44" customWidth="1" min="15" max="15"/>
  </cols>
  <sheetData>
    <row r="1" ht="39" customHeight="1">
      <c r="A1" s="1" t="inlineStr">
        <is>
          <t>#</t>
        </is>
      </c>
      <c r="B1" s="1" t="inlineStr">
        <is>
          <t>Decision (include/exclude)</t>
        </is>
      </c>
      <c r="C1" s="1" t="inlineStr">
        <is>
          <t>First author</t>
        </is>
      </c>
      <c r="D1" s="1" t="inlineStr">
        <is>
          <t>Year</t>
        </is>
      </c>
      <c r="E1" s="1" t="inlineStr">
        <is>
          <t>Full author list</t>
        </is>
      </c>
      <c r="F1" s="1" t="inlineStr">
        <is>
          <t>Title</t>
        </is>
      </c>
      <c r="G1" s="1" t="inlineStr">
        <is>
          <t>Journal</t>
        </is>
      </c>
      <c r="H1" s="1" t="inlineStr">
        <is>
          <t>DOI</t>
        </is>
      </c>
      <c r="I1" s="1" t="inlineStr">
        <is>
          <t>Service</t>
        </is>
      </c>
      <c r="J1" s="1" t="inlineStr">
        <is>
          <t>Method family</t>
        </is>
      </c>
      <c r="K1" s="1" t="inlineStr">
        <is>
          <t>Country</t>
        </is>
      </c>
      <c r="L1" s="1" t="inlineStr">
        <is>
          <t>Spatial scale</t>
        </is>
      </c>
      <c r="M1" s="1" t="inlineStr">
        <is>
          <t>Where discussed</t>
        </is>
      </c>
      <c r="N1" s="1" t="inlineStr">
        <is>
          <t>Reason</t>
        </is>
      </c>
    </row>
    <row r="2" ht="15" customHeight="1">
      <c r="A2" s="2" t="n">
        <v>1</v>
      </c>
      <c r="B2" s="3" t="inlineStr">
        <is>
          <t>include</t>
        </is>
      </c>
      <c r="C2" s="2" t="inlineStr">
        <is>
          <t>Allsopp</t>
        </is>
      </c>
      <c r="D2" s="2" t="inlineStr">
        <is>
          <t>2008</t>
        </is>
      </c>
      <c r="E2" s="2" t="inlineStr">
        <is>
          <t>Allsopp, Mike H. and de Lange, Willem J. and Veldtman, Ruan</t>
        </is>
      </c>
      <c r="F2" s="2" t="inlineStr">
        <is>
          <t>Valuing insect pollination services with cost of replacement</t>
        </is>
      </c>
      <c r="G2" s="2" t="inlineStr">
        <is>
          <t>PLOS ONE</t>
        </is>
      </c>
      <c r="H2" s="2" t="inlineStr">
        <is>
          <t>10.1371/journal.pone.0003128</t>
        </is>
      </c>
      <c r="I2" s="2" t="inlineStr">
        <is>
          <t>Pollination</t>
        </is>
      </c>
      <c r="J2" s="2" t="inlineStr">
        <is>
          <t>Replacement cost (RC)</t>
        </is>
      </c>
      <c r="K2" s="2" t="inlineStr">
        <is>
          <t>South Africa</t>
        </is>
      </c>
      <c r="L2" s="2" t="inlineStr">
        <is>
          <t>Regional (Western Cape deciduous fruit)</t>
        </is>
      </c>
      <c r="M2" s="2" t="inlineStr">
        <is>
          <t>Main text (Section 3) and Appendix A.6</t>
        </is>
      </c>
      <c r="N2" s="2" t="inlineStr">
        <is>
          <t>Primary valuation study linking an ecological indicator to a monetary value</t>
        </is>
      </c>
    </row>
    <row r="3" ht="15" customHeight="1">
      <c r="A3" s="2" t="n">
        <v>2</v>
      </c>
      <c r="B3" s="3" t="inlineStr">
        <is>
          <t>include</t>
        </is>
      </c>
      <c r="C3" s="2" t="inlineStr">
        <is>
          <t>Barfield</t>
        </is>
      </c>
      <c r="D3" s="2" t="inlineStr">
        <is>
          <t>2015</t>
        </is>
      </c>
      <c r="E3" s="2" t="inlineStr">
        <is>
          <t>Barfield, Ashley S. and Bergstrom, John C. and Ferreira, Susana and Covich, Alan P. and Delaplane, Keith S.</t>
        </is>
      </c>
      <c r="F3" s="2" t="inlineStr">
        <is>
          <t>An Economic Valuation of Biotic Pollination Services in Georgia</t>
        </is>
      </c>
      <c r="G3" s="2" t="inlineStr">
        <is>
          <t>Journal of Economic Entomology</t>
        </is>
      </c>
      <c r="H3" s="2" t="n"/>
      <c r="I3" s="2" t="inlineStr">
        <is>
          <t>Pollination</t>
        </is>
      </c>
      <c r="J3" s="2" t="inlineStr">
        <is>
          <t>Dependence ratio (DR) × crop value; spatial mapping</t>
        </is>
      </c>
      <c r="K3" s="2" t="inlineStr">
        <is>
          <t>USA (Georgia)</t>
        </is>
      </c>
      <c r="L3" s="2" t="inlineStr">
        <is>
          <t>State</t>
        </is>
      </c>
      <c r="M3" s="2" t="inlineStr">
        <is>
          <t>Main text (Section 3) and Appendix A.6</t>
        </is>
      </c>
      <c r="N3" s="2" t="inlineStr">
        <is>
          <t>Primary valuation study linking an ecological indicator to a monetary value</t>
        </is>
      </c>
    </row>
    <row r="4" ht="15" customHeight="1">
      <c r="A4" s="2" t="n">
        <v>3</v>
      </c>
      <c r="B4" s="3" t="inlineStr">
        <is>
          <t>include</t>
        </is>
      </c>
      <c r="C4" s="2" t="inlineStr">
        <is>
          <t>Chaplin-Kramer</t>
        </is>
      </c>
      <c r="D4" s="2" t="inlineStr">
        <is>
          <t>2011</t>
        </is>
      </c>
      <c r="E4" s="2" t="inlineStr">
        <is>
          <t>Chaplin-Kramer, Rebecca and Tuxen-Bettman, Karin and Kremen, Claire</t>
        </is>
      </c>
      <c r="F4" s="2" t="inlineStr">
        <is>
          <t>Value of Wildland Habitat for Supplying Pollination Services to Californian Agriculture</t>
        </is>
      </c>
      <c r="G4" s="2" t="inlineStr">
        <is>
          <t>Rangelands</t>
        </is>
      </c>
      <c r="H4" s="2" t="inlineStr">
        <is>
          <t>10.2458/azu\textunderscore rangelands\textunderscore v33i3\textunderscore kramer</t>
        </is>
      </c>
      <c r="I4" s="2" t="inlineStr">
        <is>
          <t>Pollination</t>
        </is>
      </c>
      <c r="J4" s="2" t="inlineStr">
        <is>
          <t>Dependence ratio (DR) with habitat model</t>
        </is>
      </c>
      <c r="K4" s="2" t="inlineStr">
        <is>
          <t>USA (California)</t>
        </is>
      </c>
      <c r="L4" s="2" t="inlineStr">
        <is>
          <t>State</t>
        </is>
      </c>
      <c r="M4" s="2" t="inlineStr">
        <is>
          <t>Main text (Section 3)</t>
        </is>
      </c>
      <c r="N4" s="2" t="inlineStr">
        <is>
          <t>Primary valuation study linking an ecological indicator to a monetary value</t>
        </is>
      </c>
    </row>
    <row r="5" hidden="1" ht="15" customHeight="1">
      <c r="A5" s="4" t="n">
        <v>4</v>
      </c>
      <c r="B5" s="5" t="inlineStr">
        <is>
          <t>exclude</t>
        </is>
      </c>
      <c r="C5" s="4" t="inlineStr">
        <is>
          <t>Daily</t>
        </is>
      </c>
      <c r="D5" s="4" t="inlineStr">
        <is>
          <t>1997</t>
        </is>
      </c>
      <c r="E5" s="4" t="inlineStr">
        <is>
          <t>Daily, G.C.S.A. and Ehrlich, Paul and Goulder, L. and Lubchenco, Jane and Matson, P. A. and Mooney, Harold and Postel, Sandra and Schneider, S. H. and Tilman, D. and Woodwell, George</t>
        </is>
      </c>
      <c r="F5" s="4" t="inlineStr">
        <is>
          <t>Ecosystem services: Benefits supplied to human societies by natural ecosystems</t>
        </is>
      </c>
      <c r="G5" s="4" t="n"/>
      <c r="H5" s="4" t="n"/>
      <c r="I5" s="4" t="inlineStr">
        <is>
          <t>Pollination</t>
        </is>
      </c>
      <c r="J5" s="4" t="n"/>
      <c r="K5" s="4" t="n"/>
      <c r="L5" s="4" t="n"/>
      <c r="M5" s="4" t="inlineStr"/>
      <c r="N5" s="4" t="inlineStr">
        <is>
          <t>Review / conceptual (no own valuation)</t>
        </is>
      </c>
    </row>
    <row r="6" ht="15" customHeight="1">
      <c r="A6" s="2" t="n">
        <v>5</v>
      </c>
      <c r="B6" s="3" t="inlineStr">
        <is>
          <t>include</t>
        </is>
      </c>
      <c r="C6" s="2" t="inlineStr">
        <is>
          <t>Gallai</t>
        </is>
      </c>
      <c r="D6" s="2" t="inlineStr">
        <is>
          <t>2009</t>
        </is>
      </c>
      <c r="E6" s="2" t="inlineStr">
        <is>
          <t>Gallai, Nicola and Salles, Jean-Michel and Settele, Josef and Vaissi\`ere, Bernard E.</t>
        </is>
      </c>
      <c r="F6" s="2" t="inlineStr">
        <is>
          <t>Economic valuation of the vulnerability of world agriculture confronted with pollinator decline</t>
        </is>
      </c>
      <c r="G6" s="2" t="inlineStr">
        <is>
          <t>Ecological Economics</t>
        </is>
      </c>
      <c r="H6" s="2" t="inlineStr">
        <is>
          <t>10.1016/j.ecolecon.2008.06.014</t>
        </is>
      </c>
      <c r="I6" s="2" t="inlineStr">
        <is>
          <t>Pollination</t>
        </is>
      </c>
      <c r="J6" s="2" t="inlineStr">
        <is>
          <t>Dependence ratio (DR); consumer/producer surplus</t>
        </is>
      </c>
      <c r="K6" s="2" t="inlineStr">
        <is>
          <t>Global</t>
        </is>
      </c>
      <c r="L6" s="2" t="inlineStr">
        <is>
          <t>Global</t>
        </is>
      </c>
      <c r="M6" s="2" t="inlineStr">
        <is>
          <t>Main text (Section 3) and Appendix A.6</t>
        </is>
      </c>
      <c r="N6" s="2" t="inlineStr">
        <is>
          <t>Primary valuation study linking an ecological indicator to a monetary value</t>
        </is>
      </c>
    </row>
    <row r="7" ht="15" customHeight="1">
      <c r="A7" s="2" t="n">
        <v>6</v>
      </c>
      <c r="B7" s="3" t="inlineStr">
        <is>
          <t>include</t>
        </is>
      </c>
      <c r="C7" s="2" t="inlineStr">
        <is>
          <t>Garratt</t>
        </is>
      </c>
      <c r="D7" s="2" t="inlineStr">
        <is>
          <t>2014</t>
        </is>
      </c>
      <c r="E7" s="2" t="inlineStr">
        <is>
          <t>Garratt, M. P. D. and Breeze, T. D. and Jenner, N. and Polce, C. and Biesmeijer, J. C. and Potts, S. G.</t>
        </is>
      </c>
      <c r="F7" s="2" t="inlineStr">
        <is>
          <t>Avoiding a bad apple: Insect pollination enhances fruit quality and economic value</t>
        </is>
      </c>
      <c r="G7" s="2" t="inlineStr">
        <is>
          <t>Agriculture, Ecosystems \&amp; Environment</t>
        </is>
      </c>
      <c r="H7" s="2" t="n"/>
      <c r="I7" s="2" t="inlineStr">
        <is>
          <t>Pollination</t>
        </is>
      </c>
      <c r="J7" s="2" t="inlineStr">
        <is>
          <t>Yield and quality analysis (YA)</t>
        </is>
      </c>
      <c r="K7" s="2" t="inlineStr">
        <is>
          <t>United Kingdom</t>
        </is>
      </c>
      <c r="L7" s="2" t="inlineStr">
        <is>
          <t>Field; national aggregation</t>
        </is>
      </c>
      <c r="M7" s="2" t="inlineStr">
        <is>
          <t>Main text (Section 3)</t>
        </is>
      </c>
      <c r="N7" s="2" t="inlineStr">
        <is>
          <t>Primary valuation study linking an ecological indicator to a monetary value</t>
        </is>
      </c>
    </row>
    <row r="8" hidden="1" ht="15" customHeight="1">
      <c r="A8" s="4" t="n">
        <v>7</v>
      </c>
      <c r="B8" s="5" t="inlineStr">
        <is>
          <t>exclude</t>
        </is>
      </c>
      <c r="C8" s="4" t="inlineStr">
        <is>
          <t>Hanley</t>
        </is>
      </c>
      <c r="D8" s="4" t="inlineStr">
        <is>
          <t>2015</t>
        </is>
      </c>
      <c r="E8" s="4" t="inlineStr">
        <is>
          <t>Hanley, Nick and Breeze, Tom D. and Ellis, Ciaran and Goulson, David</t>
        </is>
      </c>
      <c r="F8" s="4" t="inlineStr">
        <is>
          <t>Measuring the economic value of pollination services: Principles, evidence and knowledge gaps</t>
        </is>
      </c>
      <c r="G8" s="4" t="inlineStr">
        <is>
          <t>Ecosystem Services</t>
        </is>
      </c>
      <c r="H8" s="4" t="inlineStr">
        <is>
          <t>10.1016/j.ecoser.2014.09.013</t>
        </is>
      </c>
      <c r="I8" s="4" t="inlineStr">
        <is>
          <t>Pollination</t>
        </is>
      </c>
      <c r="J8" s="4" t="n"/>
      <c r="K8" s="4" t="n"/>
      <c r="L8" s="4" t="n"/>
      <c r="M8" s="4" t="inlineStr"/>
      <c r="N8" s="4" t="inlineStr">
        <is>
          <t>Review of pollination valuation</t>
        </is>
      </c>
    </row>
    <row r="9" ht="15" customHeight="1">
      <c r="A9" s="2" t="n">
        <v>8</v>
      </c>
      <c r="B9" s="3" t="inlineStr">
        <is>
          <t>include</t>
        </is>
      </c>
      <c r="C9" s="2" t="inlineStr">
        <is>
          <t>Kasina</t>
        </is>
      </c>
      <c r="D9" s="2" t="inlineStr">
        <is>
          <t>2009</t>
        </is>
      </c>
      <c r="E9" s="2" t="inlineStr">
        <is>
          <t>Kasina, J. M. and Mburu, J. and Kraemer, M. and Holm-Mueller, K.</t>
        </is>
      </c>
      <c r="F9" s="2" t="inlineStr">
        <is>
          <t>Economic benefit of crop pollination by bees: a case of Kakamega small-holder farming in western Kenya</t>
        </is>
      </c>
      <c r="G9" s="2" t="inlineStr">
        <is>
          <t>Journal of Economic Entomology</t>
        </is>
      </c>
      <c r="H9" s="2" t="inlineStr">
        <is>
          <t>10.1603/029.102.0201</t>
        </is>
      </c>
      <c r="I9" s="2" t="inlineStr">
        <is>
          <t>Pollination</t>
        </is>
      </c>
      <c r="J9" s="2" t="inlineStr">
        <is>
          <t>Yield analysis / factor of production (YA/DR)</t>
        </is>
      </c>
      <c r="K9" s="2" t="inlineStr">
        <is>
          <t>Kenya</t>
        </is>
      </c>
      <c r="L9" s="2" t="inlineStr">
        <is>
          <t>Farm; district</t>
        </is>
      </c>
      <c r="M9" s="2" t="inlineStr">
        <is>
          <t>Main text (Section 3)</t>
        </is>
      </c>
      <c r="N9" s="2" t="inlineStr">
        <is>
          <t>Primary valuation study linking an ecological indicator to a monetary value</t>
        </is>
      </c>
    </row>
    <row r="10" ht="15" customHeight="1">
      <c r="A10" s="2" t="n">
        <v>9</v>
      </c>
      <c r="B10" s="3" t="inlineStr">
        <is>
          <t>include</t>
        </is>
      </c>
      <c r="C10" s="2" t="inlineStr">
        <is>
          <t>Leonhardt</t>
        </is>
      </c>
      <c r="D10" s="2" t="inlineStr">
        <is>
          <t>2013</t>
        </is>
      </c>
      <c r="E10" s="2" t="inlineStr">
        <is>
          <t>Leonhardt, Sara Diana and Gallai, Nicola and Garibaldi, Lucas Alejandro and Kuhlmann, Michael and Klein, Alexandra-Maria</t>
        </is>
      </c>
      <c r="F10" s="2" t="inlineStr">
        <is>
          <t>Economic gain, stability of pollination and bee diversity decrease from southern to northern Europe</t>
        </is>
      </c>
      <c r="G10" s="2" t="inlineStr">
        <is>
          <t>Basic and Applied Ecology</t>
        </is>
      </c>
      <c r="H10" s="2" t="inlineStr">
        <is>
          <t>10.1016/j.baae.2013.06.003</t>
        </is>
      </c>
      <c r="I10" s="2" t="inlineStr">
        <is>
          <t>Pollination</t>
        </is>
      </c>
      <c r="J10" s="2" t="inlineStr">
        <is>
          <t>Dependence ratio (DR); vulnerability index</t>
        </is>
      </c>
      <c r="K10" s="2" t="inlineStr">
        <is>
          <t>EU (multi-country)</t>
        </is>
      </c>
      <c r="L10" s="2" t="inlineStr">
        <is>
          <t>National</t>
        </is>
      </c>
      <c r="M10" s="2" t="inlineStr">
        <is>
          <t>Main text (Section 3) and Appendix A.6</t>
        </is>
      </c>
      <c r="N10" s="2" t="inlineStr">
        <is>
          <t>Primary valuation study linking an ecological indicator to a monetary value</t>
        </is>
      </c>
    </row>
    <row r="11" ht="15" customHeight="1">
      <c r="A11" s="2" t="n">
        <v>10</v>
      </c>
      <c r="B11" s="3" t="inlineStr">
        <is>
          <t>include</t>
        </is>
      </c>
      <c r="C11" s="2" t="inlineStr">
        <is>
          <t>Levin</t>
        </is>
      </c>
      <c r="D11" s="2" t="inlineStr">
        <is>
          <t>1983</t>
        </is>
      </c>
      <c r="E11" s="2" t="inlineStr">
        <is>
          <t>Levin, M. D.</t>
        </is>
      </c>
      <c r="F11" s="2" t="inlineStr">
        <is>
          <t>Value of Bee Pollination to U.S. Agriculture</t>
        </is>
      </c>
      <c r="G11" s="2" t="inlineStr">
        <is>
          <t>Bulletin of the Entomological Society of America</t>
        </is>
      </c>
      <c r="H11" s="2" t="n"/>
      <c r="I11" s="2" t="inlineStr">
        <is>
          <t>Pollination</t>
        </is>
      </c>
      <c r="J11" s="2" t="inlineStr">
        <is>
          <t>Dependence ratio (DR)</t>
        </is>
      </c>
      <c r="K11" s="2" t="inlineStr">
        <is>
          <t>USA</t>
        </is>
      </c>
      <c r="L11" s="2" t="inlineStr">
        <is>
          <t>National</t>
        </is>
      </c>
      <c r="M11" s="2" t="inlineStr">
        <is>
          <t>Supplement S2 only</t>
        </is>
      </c>
      <c r="N11" s="2" t="inlineStr">
        <is>
          <t>Primary valuation study linking an ecological indicator to a monetary value</t>
        </is>
      </c>
    </row>
    <row r="12" ht="15" customHeight="1">
      <c r="A12" s="2" t="n">
        <v>11</v>
      </c>
      <c r="B12" s="3" t="inlineStr">
        <is>
          <t>include</t>
        </is>
      </c>
      <c r="C12" s="2" t="inlineStr">
        <is>
          <t>Lippert</t>
        </is>
      </c>
      <c r="D12" s="2" t="inlineStr">
        <is>
          <t>2021</t>
        </is>
      </c>
      <c r="E12" s="2" t="inlineStr">
        <is>
          <t>Lippert, Christian and Feuerbacher, Arndt and Narjes, Manuel</t>
        </is>
      </c>
      <c r="F12" s="2" t="inlineStr">
        <is>
          <t>Revisiting the economic valuation of agricultural losses due to large-scale changes in pollinator populations</t>
        </is>
      </c>
      <c r="G12" s="2" t="inlineStr">
        <is>
          <t>Ecological Economics</t>
        </is>
      </c>
      <c r="H12" s="2" t="n"/>
      <c r="I12" s="2" t="inlineStr">
        <is>
          <t>Pollination</t>
        </is>
      </c>
      <c r="J12" s="2" t="inlineStr">
        <is>
          <t>Dependence ratio (DR); general-equilibrium welfare model</t>
        </is>
      </c>
      <c r="K12" s="2" t="inlineStr">
        <is>
          <t>Global</t>
        </is>
      </c>
      <c r="L12" s="2" t="inlineStr">
        <is>
          <t>Global</t>
        </is>
      </c>
      <c r="M12" s="2" t="inlineStr">
        <is>
          <t>Main text (Section 3) and Appendix A.6</t>
        </is>
      </c>
      <c r="N12" s="2" t="inlineStr">
        <is>
          <t>Primary valuation study linking an ecological indicator to a monetary value</t>
        </is>
      </c>
    </row>
    <row r="13" ht="15" customHeight="1">
      <c r="A13" s="2" t="n">
        <v>12</v>
      </c>
      <c r="B13" s="3" t="inlineStr">
        <is>
          <t>include</t>
        </is>
      </c>
      <c r="C13" s="2" t="inlineStr">
        <is>
          <t>Martinez-Salinas</t>
        </is>
      </c>
      <c r="D13" s="2" t="inlineStr">
        <is>
          <t>2022</t>
        </is>
      </c>
      <c r="E13" s="2" t="inlineStr">
        <is>
          <t>Mart\'inez-Salinas, Alejandra and Chain-Guadarrama, Adina and Aristiz\'abal, Natalia and Vilchez-Mendoza, Sergio and Cerda, Rolando and Ricketts, Taylor H.</t>
        </is>
      </c>
      <c r="F13" s="2" t="inlineStr">
        <is>
          <t>Interacting pest control and pollination services in coffee systems</t>
        </is>
      </c>
      <c r="G13" s="2" t="inlineStr">
        <is>
          <t>Proceedings of the National Academy of Sciences</t>
        </is>
      </c>
      <c r="H13" s="2" t="inlineStr">
        <is>
          <t>10.1073/pnas.2119959119</t>
        </is>
      </c>
      <c r="I13" s="2" t="inlineStr">
        <is>
          <t>Pollination / Natural pest control</t>
        </is>
      </c>
      <c r="J13" s="2" t="inlineStr">
        <is>
          <t>Yield analysis, exclusion experiment (YA)</t>
        </is>
      </c>
      <c r="K13" s="2" t="inlineStr">
        <is>
          <t>Costa Rica</t>
        </is>
      </c>
      <c r="L13" s="2" t="inlineStr">
        <is>
          <t>Plot; farm</t>
        </is>
      </c>
      <c r="M13" s="2" t="inlineStr">
        <is>
          <t>Main text (Section 3) and Appendix A.6</t>
        </is>
      </c>
      <c r="N13" s="2" t="inlineStr">
        <is>
          <t>Primary valuation study linking an ecological indicator to a monetary value</t>
        </is>
      </c>
    </row>
    <row r="14" hidden="1" ht="15" customHeight="1">
      <c r="A14" s="4" t="n">
        <v>13</v>
      </c>
      <c r="B14" s="5" t="inlineStr">
        <is>
          <t>exclude</t>
        </is>
      </c>
      <c r="C14" s="4" t="inlineStr">
        <is>
          <t>Melathopoulos</t>
        </is>
      </c>
      <c r="D14" s="4" t="inlineStr">
        <is>
          <t>2015</t>
        </is>
      </c>
      <c r="E14" s="4" t="inlineStr">
        <is>
          <t>Melathopoulos, Andony P. and Cutler, G. Christopher and Tyedmers, Peter</t>
        </is>
      </c>
      <c r="F14" s="4" t="inlineStr">
        <is>
          <t>Where is the value in valuing pollination ecosystem services to agriculture?</t>
        </is>
      </c>
      <c r="G14" s="4" t="inlineStr">
        <is>
          <t>Ecological Economics</t>
        </is>
      </c>
      <c r="H14" s="4" t="n"/>
      <c r="I14" s="4" t="inlineStr">
        <is>
          <t>Pollination</t>
        </is>
      </c>
      <c r="J14" s="4" t="n"/>
      <c r="K14" s="4" t="n"/>
      <c r="L14" s="4" t="n"/>
      <c r="M14" s="4" t="inlineStr"/>
      <c r="N14" s="4" t="inlineStr">
        <is>
          <t>Methodological critique, no own valuation</t>
        </is>
      </c>
    </row>
    <row r="15" ht="15" customHeight="1">
      <c r="A15" s="2" t="n">
        <v>14</v>
      </c>
      <c r="B15" s="3" t="inlineStr">
        <is>
          <t>include</t>
        </is>
      </c>
      <c r="C15" s="2" t="inlineStr">
        <is>
          <t>Morandin</t>
        </is>
      </c>
      <c r="D15" s="2" t="inlineStr">
        <is>
          <t>2006</t>
        </is>
      </c>
      <c r="E15" s="2" t="inlineStr">
        <is>
          <t>Morandin, L. A. and Winston, M. L.</t>
        </is>
      </c>
      <c r="F15" s="2" t="inlineStr">
        <is>
          <t>Pollinators provide economic incentive to preserve natural land in agroecosystems</t>
        </is>
      </c>
      <c r="G15" s="2" t="inlineStr">
        <is>
          <t>Agriculture, Ecosystems \&amp; Environment</t>
        </is>
      </c>
      <c r="H15" s="2" t="n"/>
      <c r="I15" s="2" t="inlineStr">
        <is>
          <t>Pollination</t>
        </is>
      </c>
      <c r="J15" s="2" t="inlineStr">
        <is>
          <t>Yield analysis with profit model (YA)</t>
        </is>
      </c>
      <c r="K15" s="2" t="inlineStr">
        <is>
          <t>Canada (Alberta)</t>
        </is>
      </c>
      <c r="L15" s="2" t="inlineStr">
        <is>
          <t>Field; landscape</t>
        </is>
      </c>
      <c r="M15" s="2" t="inlineStr">
        <is>
          <t>Main text (Section 3)</t>
        </is>
      </c>
      <c r="N15" s="2" t="inlineStr">
        <is>
          <t>Primary valuation study linking an ecological indicator to a monetary value</t>
        </is>
      </c>
    </row>
    <row r="16" ht="15" customHeight="1">
      <c r="A16" s="2" t="n">
        <v>15</v>
      </c>
      <c r="B16" s="3" t="inlineStr">
        <is>
          <t>include</t>
        </is>
      </c>
      <c r="C16" s="2" t="inlineStr">
        <is>
          <t>Morandin</t>
        </is>
      </c>
      <c r="D16" s="2" t="inlineStr">
        <is>
          <t>2016</t>
        </is>
      </c>
      <c r="E16" s="2" t="inlineStr">
        <is>
          <t>Morandin, L. A. and Long, R. F. and Kremen, C.</t>
        </is>
      </c>
      <c r="F16" s="2" t="inlineStr">
        <is>
          <t>Pest Control and Pollination Cost-Benefit Analysis of Hedgerow Restoration in a Simplified Agricultural Landscape</t>
        </is>
      </c>
      <c r="G16" s="2" t="inlineStr">
        <is>
          <t>Journal of Economic Entomology</t>
        </is>
      </c>
      <c r="H16" s="2" t="inlineStr">
        <is>
          <t>10.1093/jee/tow086</t>
        </is>
      </c>
      <c r="I16" s="2" t="inlineStr">
        <is>
          <t>Pollination</t>
        </is>
      </c>
      <c r="J16" s="2" t="inlineStr">
        <is>
          <t>Cost–benefit analysis with YA and avoided cost</t>
        </is>
      </c>
      <c r="K16" s="2" t="inlineStr">
        <is>
          <t>USA (California)</t>
        </is>
      </c>
      <c r="L16" s="2" t="inlineStr">
        <is>
          <t>Field</t>
        </is>
      </c>
      <c r="M16" s="2" t="inlineStr">
        <is>
          <t>Main text (Section 3) and Appendix A.6</t>
        </is>
      </c>
      <c r="N16" s="2" t="inlineStr">
        <is>
          <t>Primary valuation study linking an ecological indicator to a monetary value</t>
        </is>
      </c>
    </row>
    <row r="17" ht="15" customHeight="1">
      <c r="A17" s="2" t="n">
        <v>16</v>
      </c>
      <c r="B17" s="3" t="inlineStr">
        <is>
          <t>include</t>
        </is>
      </c>
      <c r="C17" s="2" t="inlineStr">
        <is>
          <t>Morse</t>
        </is>
      </c>
      <c r="D17" s="2" t="inlineStr">
        <is>
          <t>2000</t>
        </is>
      </c>
      <c r="E17" s="2" t="inlineStr">
        <is>
          <t>Morse, R. A. and Calderone, N. W.</t>
        </is>
      </c>
      <c r="F17" s="2" t="inlineStr">
        <is>
          <t>The Value of Honey Bees As Pollinators of U.S. Crops in 2000</t>
        </is>
      </c>
      <c r="G17" s="2" t="n"/>
      <c r="H17" s="2" t="n"/>
      <c r="I17" s="2" t="inlineStr">
        <is>
          <t>Pollination</t>
        </is>
      </c>
      <c r="J17" s="2" t="inlineStr">
        <is>
          <t>Dependence ratio (DR)</t>
        </is>
      </c>
      <c r="K17" s="2" t="inlineStr">
        <is>
          <t>USA</t>
        </is>
      </c>
      <c r="L17" s="2" t="inlineStr">
        <is>
          <t>National</t>
        </is>
      </c>
      <c r="M17" s="2" t="inlineStr">
        <is>
          <t>Supplement S2 only</t>
        </is>
      </c>
      <c r="N17" s="2" t="inlineStr">
        <is>
          <t>Primary valuation study linking an ecological indicator to a monetary value</t>
        </is>
      </c>
    </row>
    <row r="18" ht="15" customHeight="1">
      <c r="A18" s="2" t="n">
        <v>17</v>
      </c>
      <c r="B18" s="3" t="inlineStr">
        <is>
          <t>include</t>
        </is>
      </c>
      <c r="C18" s="2" t="inlineStr">
        <is>
          <t>Narjes</t>
        </is>
      </c>
      <c r="D18" s="2" t="inlineStr">
        <is>
          <t>2016</t>
        </is>
      </c>
      <c r="E18" s="2" t="inlineStr">
        <is>
          <t>Narjes, Manuel Ernesto and Lippert, Christian</t>
        </is>
      </c>
      <c r="F18" s="2" t="inlineStr">
        <is>
          <t>Longan fruit farmers' demand for policies aimed at conserving native pollinating bees in Northern Thailand</t>
        </is>
      </c>
      <c r="G18" s="2" t="inlineStr">
        <is>
          <t>Ecosystem Services</t>
        </is>
      </c>
      <c r="H18" s="2" t="n"/>
      <c r="I18" s="2" t="inlineStr">
        <is>
          <t>Pollination</t>
        </is>
      </c>
      <c r="J18" s="2" t="inlineStr">
        <is>
          <t>Stated preference, choice experiment (SPM)</t>
        </is>
      </c>
      <c r="K18" s="2" t="inlineStr">
        <is>
          <t>Thailand</t>
        </is>
      </c>
      <c r="L18" s="2" t="inlineStr">
        <is>
          <t>Household; province</t>
        </is>
      </c>
      <c r="M18" s="2" t="inlineStr">
        <is>
          <t>Main text (Section 3) and Appendix A.6</t>
        </is>
      </c>
      <c r="N18" s="2" t="inlineStr">
        <is>
          <t>Primary valuation study linking an ecological indicator to a monetary value</t>
        </is>
      </c>
    </row>
    <row r="19" ht="15" customHeight="1">
      <c r="A19" s="2" t="n">
        <v>18</v>
      </c>
      <c r="B19" s="3" t="inlineStr">
        <is>
          <t>include</t>
        </is>
      </c>
      <c r="C19" s="2" t="inlineStr">
        <is>
          <t>Novais</t>
        </is>
      </c>
      <c r="D19" s="2" t="inlineStr">
        <is>
          <t>2016</t>
        </is>
      </c>
      <c r="E19" s="2" t="inlineStr">
        <is>
          <t>Novais, Samuel M. A. and Nunes, C\'assio A. and Santos, Nat\'alia B. and D Amico, Ana R. and Fernandes, G. Wilson and Quesada, Maur\'icio and Braga, Rodrigo F. and Neves, Ana Carolina O.</t>
        </is>
      </c>
      <c r="F19" s="2" t="inlineStr">
        <is>
          <t>Effects of a Possible Pollinator Crisis on Food Crop Production in Brazil</t>
        </is>
      </c>
      <c r="G19" s="2" t="inlineStr">
        <is>
          <t>PLOS ONE</t>
        </is>
      </c>
      <c r="H19" s="2" t="inlineStr">
        <is>
          <t>10.1371/journal.pone.0167292</t>
        </is>
      </c>
      <c r="I19" s="2" t="inlineStr">
        <is>
          <t>Pollination</t>
        </is>
      </c>
      <c r="J19" s="2" t="inlineStr">
        <is>
          <t>Dependence ratio (DR) × crop value</t>
        </is>
      </c>
      <c r="K19" s="2" t="inlineStr">
        <is>
          <t>Brazil</t>
        </is>
      </c>
      <c r="L19" s="2" t="inlineStr">
        <is>
          <t>National</t>
        </is>
      </c>
      <c r="M19" s="2" t="inlineStr">
        <is>
          <t>Main text (Section 3) and Appendix A.6</t>
        </is>
      </c>
      <c r="N19" s="2" t="inlineStr">
        <is>
          <t>Primary valuation study linking an ecological indicator to a monetary value</t>
        </is>
      </c>
    </row>
    <row r="20" ht="15" customHeight="1">
      <c r="A20" s="2" t="n">
        <v>19</v>
      </c>
      <c r="B20" s="3" t="inlineStr">
        <is>
          <t>include</t>
        </is>
      </c>
      <c r="C20" s="2" t="inlineStr">
        <is>
          <t>Picanço</t>
        </is>
      </c>
      <c r="D20" s="2" t="inlineStr">
        <is>
          <t>2017</t>
        </is>
      </c>
      <c r="E20" s="2" t="n"/>
      <c r="F20" s="2" t="inlineStr">
        <is>
          <t>Pollination services mapping and economic valuation from insect communities: a case study in the Azores (Terceira Island)</t>
        </is>
      </c>
      <c r="G20" s="2" t="inlineStr">
        <is>
          <t>Nature Conservation</t>
        </is>
      </c>
      <c r="H20" s="2" t="inlineStr">
        <is>
          <t>10.3897/natureconservation.18.11523</t>
        </is>
      </c>
      <c r="I20" s="2" t="inlineStr">
        <is>
          <t>Pollination</t>
        </is>
      </c>
      <c r="J20" s="2" t="inlineStr">
        <is>
          <t>Dependence ratio (DR); spatial mapping</t>
        </is>
      </c>
      <c r="K20" s="2" t="inlineStr">
        <is>
          <t>Portugal (Azores)</t>
        </is>
      </c>
      <c r="L20" s="2" t="inlineStr">
        <is>
          <t>Island / regional</t>
        </is>
      </c>
      <c r="M20" s="2" t="inlineStr">
        <is>
          <t>Supplement S2 only</t>
        </is>
      </c>
      <c r="N20" s="2" t="inlineStr">
        <is>
          <t>Primary valuation study linking an ecological indicator to a monetary value</t>
        </is>
      </c>
    </row>
    <row r="21" ht="15" customHeight="1">
      <c r="A21" s="2" t="n">
        <v>20</v>
      </c>
      <c r="B21" s="3" t="inlineStr">
        <is>
          <t>include</t>
        </is>
      </c>
      <c r="C21" s="2" t="inlineStr">
        <is>
          <t>Ricketts</t>
        </is>
      </c>
      <c r="D21" s="2" t="inlineStr">
        <is>
          <t>2004</t>
        </is>
      </c>
      <c r="E21" s="2" t="inlineStr">
        <is>
          <t>Ricketts, Taylor H. and Daily, Gretchen C. and Ehrlich, Paul R. and Michener, Charles D.</t>
        </is>
      </c>
      <c r="F21" s="2" t="inlineStr">
        <is>
          <t>Economic value of tropical forest to coffee production</t>
        </is>
      </c>
      <c r="G21" s="2" t="inlineStr">
        <is>
          <t>Proceedings of the National Academy of Sciences</t>
        </is>
      </c>
      <c r="H21" s="2" t="inlineStr">
        <is>
          <t>10.1073/pnas.0405147101</t>
        </is>
      </c>
      <c r="I21" s="2" t="inlineStr">
        <is>
          <t>Pollination</t>
        </is>
      </c>
      <c r="J21" s="2" t="inlineStr">
        <is>
          <t>Production function / yield analysis (PFM/YA)</t>
        </is>
      </c>
      <c r="K21" s="2" t="inlineStr">
        <is>
          <t>Costa Rica</t>
        </is>
      </c>
      <c r="L21" s="2" t="inlineStr">
        <is>
          <t>Farm</t>
        </is>
      </c>
      <c r="M21" s="2" t="inlineStr">
        <is>
          <t>Main text (Section 3)</t>
        </is>
      </c>
      <c r="N21" s="2" t="inlineStr">
        <is>
          <t>Primary valuation study linking an ecological indicator to a monetary value</t>
        </is>
      </c>
    </row>
    <row r="22" ht="15" customHeight="1">
      <c r="A22" s="2" t="n">
        <v>21</v>
      </c>
      <c r="B22" s="3" t="inlineStr">
        <is>
          <t>include</t>
        </is>
      </c>
      <c r="C22" s="2" t="inlineStr">
        <is>
          <t>Rosmiati</t>
        </is>
      </c>
      <c r="D22" s="2" t="inlineStr">
        <is>
          <t>2015</t>
        </is>
      </c>
      <c r="E22" s="2" t="inlineStr">
        <is>
          <t>Rosmiati, Mia and Eka Putra, Ramadhani and Ruswandi, Ahim</t>
        </is>
      </c>
      <c r="F22" s="2" t="inlineStr">
        <is>
          <t>Insects Pollination of Zucchini Farming in Indonesia and their Economic Importance</t>
        </is>
      </c>
      <c r="G22" s="2" t="inlineStr">
        <is>
          <t>Asian Journal of Plant Sciences</t>
        </is>
      </c>
      <c r="H22" s="2" t="n"/>
      <c r="I22" s="2" t="inlineStr">
        <is>
          <t>Pollination</t>
        </is>
      </c>
      <c r="J22" s="2" t="inlineStr">
        <is>
          <t>Yield analysis and dependence ratio (YA/DR)</t>
        </is>
      </c>
      <c r="K22" s="2" t="inlineStr">
        <is>
          <t>Indonesia</t>
        </is>
      </c>
      <c r="L22" s="2" t="inlineStr">
        <is>
          <t>Farm</t>
        </is>
      </c>
      <c r="M22" s="2" t="inlineStr">
        <is>
          <t>Main text (Section 3) and Appendix A.6</t>
        </is>
      </c>
      <c r="N22" s="2" t="inlineStr">
        <is>
          <t>Primary valuation study linking an ecological indicator to a monetary value</t>
        </is>
      </c>
    </row>
    <row r="23" ht="15" customHeight="1">
      <c r="A23" s="2" t="n">
        <v>22</v>
      </c>
      <c r="B23" s="3" t="inlineStr">
        <is>
          <t>include</t>
        </is>
      </c>
      <c r="C23" s="2" t="inlineStr">
        <is>
          <t>Southwick</t>
        </is>
      </c>
      <c r="D23" s="2" t="inlineStr">
        <is>
          <t>1992</t>
        </is>
      </c>
      <c r="E23" s="2" t="inlineStr">
        <is>
          <t>Southwick, Edward E. and Southwick, Lawrence</t>
        </is>
      </c>
      <c r="F23" s="2" t="inlineStr">
        <is>
          <t>Estimating the Economic Value of Honey Bees (Hymenoptera: Apidae) as Agricultural Pollinators in the United States</t>
        </is>
      </c>
      <c r="G23" s="2" t="inlineStr">
        <is>
          <t>Journal of Economic Entomology</t>
        </is>
      </c>
      <c r="H23" s="2" t="n"/>
      <c r="I23" s="2" t="inlineStr">
        <is>
          <t>Pollination</t>
        </is>
      </c>
      <c r="J23" s="2" t="inlineStr">
        <is>
          <t>Dependence ratio (DR); consumer surplus</t>
        </is>
      </c>
      <c r="K23" s="2" t="inlineStr">
        <is>
          <t>USA</t>
        </is>
      </c>
      <c r="L23" s="2" t="inlineStr">
        <is>
          <t>National</t>
        </is>
      </c>
      <c r="M23" s="2" t="inlineStr">
        <is>
          <t>Main text (Section 3) and Appendix A.6</t>
        </is>
      </c>
      <c r="N23" s="2" t="inlineStr">
        <is>
          <t>Primary valuation study linking an ecological indicator to a monetary value</t>
        </is>
      </c>
    </row>
    <row r="24" ht="15" customHeight="1">
      <c r="A24" s="2" t="n">
        <v>23</v>
      </c>
      <c r="B24" s="3" t="inlineStr">
        <is>
          <t>include</t>
        </is>
      </c>
      <c r="C24" s="2" t="inlineStr">
        <is>
          <t>Stanley</t>
        </is>
      </c>
      <c r="D24" s="2" t="inlineStr">
        <is>
          <t>2013</t>
        </is>
      </c>
      <c r="E24" s="2" t="inlineStr">
        <is>
          <t>Stanley, Dara A. and Gunning, Daryl and Stout, Jane C.</t>
        </is>
      </c>
      <c r="F24" s="2" t="inlineStr">
        <is>
          <t>Pollinators and pollination of oilseed rape crops (Brassica napus L.) in Ireland: ecological and economic incentives for pollinator conservation</t>
        </is>
      </c>
      <c r="G24" s="2" t="inlineStr">
        <is>
          <t>Journal of Insect Conservation</t>
        </is>
      </c>
      <c r="H24" s="2" t="inlineStr">
        <is>
          <t>10.1007/s10841-013-9599-z</t>
        </is>
      </c>
      <c r="I24" s="2" t="inlineStr">
        <is>
          <t>Pollination</t>
        </is>
      </c>
      <c r="J24" s="2" t="inlineStr">
        <is>
          <t>Yield analysis, exclusion experiment (YA)</t>
        </is>
      </c>
      <c r="K24" s="2" t="inlineStr">
        <is>
          <t>Ireland</t>
        </is>
      </c>
      <c r="L24" s="2" t="inlineStr">
        <is>
          <t>Field; national aggregation</t>
        </is>
      </c>
      <c r="M24" s="2" t="inlineStr">
        <is>
          <t>Main text (Section 3)</t>
        </is>
      </c>
      <c r="N24" s="2" t="inlineStr">
        <is>
          <t>Primary valuation study linking an ecological indicator to a monetary value</t>
        </is>
      </c>
    </row>
    <row r="25" ht="15" customHeight="1">
      <c r="A25" s="2" t="n">
        <v>24</v>
      </c>
      <c r="B25" s="3" t="inlineStr">
        <is>
          <t>include</t>
        </is>
      </c>
      <c r="C25" s="2" t="inlineStr">
        <is>
          <t>Stein</t>
        </is>
      </c>
      <c r="D25" s="2" t="inlineStr">
        <is>
          <t>2017</t>
        </is>
      </c>
      <c r="E25" s="2" t="inlineStr">
        <is>
          <t>Stein, Katharina and Coulibaly, Drissa and Stenchly, Kathrin and Goetze, Dethardt and Porembski, Stefan and Lindner, Andr\'e and Konat\'e, Souleymane and Linsenmair, Eduard K.</t>
        </is>
      </c>
      <c r="F25" s="2" t="inlineStr">
        <is>
          <t>Bee pollination increases yield quantity and quality of cash crops in Burkina Faso, West Africa</t>
        </is>
      </c>
      <c r="G25" s="2" t="inlineStr">
        <is>
          <t>Scientific Reports</t>
        </is>
      </c>
      <c r="H25" s="2" t="inlineStr">
        <is>
          <t>10.1038/s41598-017-17970-2</t>
        </is>
      </c>
      <c r="I25" s="2" t="inlineStr">
        <is>
          <t>Pollination</t>
        </is>
      </c>
      <c r="J25" s="2" t="inlineStr">
        <is>
          <t>Yield analysis, exclusion experiment (YA)</t>
        </is>
      </c>
      <c r="K25" s="2" t="inlineStr">
        <is>
          <t>Burkina Faso</t>
        </is>
      </c>
      <c r="L25" s="2" t="inlineStr">
        <is>
          <t>Field</t>
        </is>
      </c>
      <c r="M25" s="2" t="inlineStr">
        <is>
          <t>Main text (Section 3) and Appendix A.6</t>
        </is>
      </c>
      <c r="N25" s="2" t="inlineStr">
        <is>
          <t>Primary valuation study linking an ecological indicator to a monetary value</t>
        </is>
      </c>
    </row>
    <row r="26" ht="15" customHeight="1">
      <c r="A26" s="2" t="n">
        <v>25</v>
      </c>
      <c r="B26" s="3" t="inlineStr">
        <is>
          <t>include</t>
        </is>
      </c>
      <c r="C26" s="2" t="inlineStr">
        <is>
          <t>Winfree</t>
        </is>
      </c>
      <c r="D26" s="2" t="inlineStr">
        <is>
          <t>2011</t>
        </is>
      </c>
      <c r="E26" s="2" t="inlineStr">
        <is>
          <t>Winfree, Rachael and Gross, Brian J. and Kremen, Claire</t>
        </is>
      </c>
      <c r="F26" s="2" t="inlineStr">
        <is>
          <t>Valuing pollination services to agriculture</t>
        </is>
      </c>
      <c r="G26" s="2" t="inlineStr">
        <is>
          <t>Ecological Economics</t>
        </is>
      </c>
      <c r="H26" s="2" t="n"/>
      <c r="I26" s="2" t="inlineStr">
        <is>
          <t>Pollination</t>
        </is>
      </c>
      <c r="J26" s="2" t="inlineStr">
        <is>
          <t>Attributable net income (ANI)</t>
        </is>
      </c>
      <c r="K26" s="2" t="inlineStr">
        <is>
          <t>USA</t>
        </is>
      </c>
      <c r="L26" s="2" t="inlineStr">
        <is>
          <t>Regional / national (watermelon)</t>
        </is>
      </c>
      <c r="M26" s="2" t="inlineStr">
        <is>
          <t>Main text (Section 3) and Appendix A.6</t>
        </is>
      </c>
      <c r="N26" s="2" t="inlineStr">
        <is>
          <t>Primary valuation study linking an ecological indicator to a monetary value</t>
        </is>
      </c>
    </row>
    <row r="27" ht="15" customHeight="1">
      <c r="A27" s="2" t="n">
        <v>26</v>
      </c>
      <c r="B27" s="3" t="inlineStr">
        <is>
          <t>include</t>
        </is>
      </c>
      <c r="C27" s="2" t="inlineStr">
        <is>
          <t>BEYNON</t>
        </is>
      </c>
      <c r="D27" s="2" t="inlineStr">
        <is>
          <t>2015</t>
        </is>
      </c>
      <c r="E27" s="2" t="inlineStr">
        <is>
          <t>BEYNON, SARAH A. and WAINWRIGHT, WARWICK A. and CHRISTIE, MICHAEL</t>
        </is>
      </c>
      <c r="F27" s="2" t="inlineStr">
        <is>
          <t>The application of an ecosystem services framework to estimate the economic value of dung beetles to the U.K. cattle industry</t>
        </is>
      </c>
      <c r="G27" s="2" t="inlineStr">
        <is>
          <t>Ecological Entomology</t>
        </is>
      </c>
      <c r="H27" s="2" t="inlineStr">
        <is>
          <t>10.1111/een.12240</t>
        </is>
      </c>
      <c r="I27" s="2" t="inlineStr">
        <is>
          <t>Pollination / Natural pest control</t>
        </is>
      </c>
      <c r="J27" s="2" t="inlineStr">
        <is>
          <t>Avoided cost within ES framework (AC)</t>
        </is>
      </c>
      <c r="K27" s="2" t="inlineStr">
        <is>
          <t>United Kingdom</t>
        </is>
      </c>
      <c r="L27" s="2" t="inlineStr">
        <is>
          <t>National</t>
        </is>
      </c>
      <c r="M27" s="2" t="inlineStr">
        <is>
          <t>Main text (Section 3)</t>
        </is>
      </c>
      <c r="N27" s="2" t="inlineStr">
        <is>
          <t>Primary valuation study linking an ecological indicator to a monetary value</t>
        </is>
      </c>
    </row>
    <row r="28" ht="15" customHeight="1">
      <c r="A28" s="2" t="n">
        <v>27</v>
      </c>
      <c r="B28" s="3" t="inlineStr">
        <is>
          <t>include</t>
        </is>
      </c>
      <c r="C28" s="2" t="inlineStr">
        <is>
          <t>Atallah</t>
        </is>
      </c>
      <c r="D28" s="2" t="inlineStr">
        <is>
          <t>2018</t>
        </is>
      </c>
      <c r="E28" s="2" t="inlineStr">
        <is>
          <t>Atallah, Shady S. and G\'omez, Miguel I. and Jaramillo, Juliana</t>
        </is>
      </c>
      <c r="F28" s="2" t="inlineStr">
        <is>
          <t>A Bioeconomic Model of Ecosystem Services Provision: Coffee Berry Borer and Shade-grown Coffee in Colombia</t>
        </is>
      </c>
      <c r="G28" s="2" t="inlineStr">
        <is>
          <t>Ecological Economics</t>
        </is>
      </c>
      <c r="H28" s="2" t="n"/>
      <c r="I28" s="2" t="inlineStr">
        <is>
          <t>Natural pest control</t>
        </is>
      </c>
      <c r="J28" s="2" t="inlineStr">
        <is>
          <t>Bioeconomic model (BM)</t>
        </is>
      </c>
      <c r="K28" s="2" t="inlineStr">
        <is>
          <t>Colombia</t>
        </is>
      </c>
      <c r="L28" s="2" t="inlineStr">
        <is>
          <t>Farm</t>
        </is>
      </c>
      <c r="M28" s="2" t="inlineStr">
        <is>
          <t>Main text (Section 3) and Appendix A.6</t>
        </is>
      </c>
      <c r="N28" s="2" t="inlineStr">
        <is>
          <t>Primary valuation study linking an ecological indicator to a monetary value</t>
        </is>
      </c>
    </row>
    <row r="29" ht="15" customHeight="1">
      <c r="A29" s="2" t="n">
        <v>28</v>
      </c>
      <c r="B29" s="3" t="inlineStr">
        <is>
          <t>include</t>
        </is>
      </c>
      <c r="C29" s="2" t="inlineStr">
        <is>
          <t>Bokonon-Ganta</t>
        </is>
      </c>
      <c r="D29" s="2" t="inlineStr">
        <is>
          <t>2002</t>
        </is>
      </c>
      <c r="E29" s="2" t="inlineStr">
        <is>
          <t>Bokonon-Ganta, Aim\'e H. and de Groote, Hugo and Neuenschwander, Peter</t>
        </is>
      </c>
      <c r="F29" s="2" t="inlineStr">
        <is>
          <t>Socio-economic impact of biological control of mango mealybug in Benin</t>
        </is>
      </c>
      <c r="G29" s="2" t="inlineStr">
        <is>
          <t>Agriculture, Ecosystems \&amp; Environment</t>
        </is>
      </c>
      <c r="H29" s="2" t="n"/>
      <c r="I29" s="2" t="inlineStr">
        <is>
          <t>Natural pest control</t>
        </is>
      </c>
      <c r="J29" s="2" t="inlineStr">
        <is>
          <t>Economic surplus / benefit–cost of classical biocontrol (ESM)</t>
        </is>
      </c>
      <c r="K29" s="2" t="inlineStr">
        <is>
          <t>Benin</t>
        </is>
      </c>
      <c r="L29" s="2" t="inlineStr">
        <is>
          <t>National</t>
        </is>
      </c>
      <c r="M29" s="2" t="inlineStr">
        <is>
          <t>Supplement S2 only</t>
        </is>
      </c>
      <c r="N29" s="2" t="inlineStr">
        <is>
          <t>Primary valuation study linking an ecological indicator to a monetary value</t>
        </is>
      </c>
    </row>
    <row r="30" ht="15" customHeight="1">
      <c r="A30" s="2" t="n">
        <v>29</v>
      </c>
      <c r="B30" s="3" t="inlineStr">
        <is>
          <t>include</t>
        </is>
      </c>
      <c r="C30" s="2" t="inlineStr">
        <is>
          <t>Cleveland</t>
        </is>
      </c>
      <c r="D30" s="2" t="inlineStr">
        <is>
          <t>2006</t>
        </is>
      </c>
      <c r="E30" s="2" t="inlineStr">
        <is>
          <t>Cleveland, Cutler J. and Betke, Margrit and Federico, Paula and Frank, Jeff D. and Hallam, Thomas G. and Horn, Jason and Lpez, Juan D. and McCracken, Gary F. and Medelln, Rodrigo A. and Moreno-Valdez, Arnulfo and Sansone, Chris G. and Westbrook, John K. and Kunz, Thomas H.</t>
        </is>
      </c>
      <c r="F30" s="2" t="inlineStr">
        <is>
          <t>Economic Value of the Pest Control Service Provided by Brazilian Free-Tailed Bats in South-Central Texas</t>
        </is>
      </c>
      <c r="G30" s="2" t="n"/>
      <c r="H30" s="2" t="n"/>
      <c r="I30" s="2" t="inlineStr">
        <is>
          <t>Natural pest control</t>
        </is>
      </c>
      <c r="J30" s="2" t="inlineStr">
        <is>
          <t>Avoided cost (AC): avoided damage and pesticide</t>
        </is>
      </c>
      <c r="K30" s="2" t="inlineStr">
        <is>
          <t>USA (Texas)</t>
        </is>
      </c>
      <c r="L30" s="2" t="inlineStr">
        <is>
          <t>Regional</t>
        </is>
      </c>
      <c r="M30" s="2" t="inlineStr">
        <is>
          <t>Main text (Section 3)</t>
        </is>
      </c>
      <c r="N30" s="2" t="inlineStr">
        <is>
          <t>Primary valuation study linking an ecological indicator to a monetary value</t>
        </is>
      </c>
    </row>
    <row r="31" ht="15" customHeight="1">
      <c r="A31" s="2" t="n">
        <v>30</v>
      </c>
      <c r="B31" s="3" t="inlineStr">
        <is>
          <t>include</t>
        </is>
      </c>
      <c r="C31" s="2" t="inlineStr">
        <is>
          <t>Colloff</t>
        </is>
      </c>
      <c r="D31" s="2" t="inlineStr">
        <is>
          <t>2013</t>
        </is>
      </c>
      <c r="E31" s="2" t="inlineStr">
        <is>
          <t>Colloff, Matthew J. and Lindsay, Elizabeth A. and Cook, David C.</t>
        </is>
      </c>
      <c r="F31" s="2" t="inlineStr">
        <is>
          <t>Natural pest control in citrus as an ecosystem service: Integrating ecology, economics and management at the farm scale</t>
        </is>
      </c>
      <c r="G31" s="2" t="inlineStr">
        <is>
          <t>Biological Control</t>
        </is>
      </c>
      <c r="H31" s="2" t="n"/>
      <c r="I31" s="2" t="inlineStr">
        <is>
          <t>Natural pest control</t>
        </is>
      </c>
      <c r="J31" s="2" t="inlineStr">
        <is>
          <t>Replacement / avoided cost (RC/AC)</t>
        </is>
      </c>
      <c r="K31" s="2" t="inlineStr">
        <is>
          <t>Australia</t>
        </is>
      </c>
      <c r="L31" s="2" t="inlineStr">
        <is>
          <t>Farm</t>
        </is>
      </c>
      <c r="M31" s="2" t="inlineStr">
        <is>
          <t>Main text (Section 3) and Appendix A.6</t>
        </is>
      </c>
      <c r="N31" s="2" t="inlineStr">
        <is>
          <t>Primary valuation study linking an ecological indicator to a monetary value</t>
        </is>
      </c>
    </row>
    <row r="32" ht="15" customHeight="1">
      <c r="A32" s="2" t="n">
        <v>31</v>
      </c>
      <c r="B32" s="3" t="inlineStr">
        <is>
          <t>include</t>
        </is>
      </c>
      <c r="C32" s="2" t="inlineStr">
        <is>
          <t>Daniels</t>
        </is>
      </c>
      <c r="D32" s="2" t="inlineStr">
        <is>
          <t>2017</t>
        </is>
      </c>
      <c r="E32" s="2" t="inlineStr">
        <is>
          <t>Daniels, Silvie and Witters, Nele and Beli\"en, Tim and Vrancken, Kristof and Vangronsveld, Jaco and van Passel, Steven</t>
        </is>
      </c>
      <c r="F32" s="2" t="inlineStr">
        <is>
          <t>Monetary Valuation of Natural Predators for Biological Pest Control in Pear Production</t>
        </is>
      </c>
      <c r="G32" s="2" t="inlineStr">
        <is>
          <t>Ecological Economics</t>
        </is>
      </c>
      <c r="H32" s="2" t="inlineStr">
        <is>
          <t>10.1016/j.ecolecon.2016.12.029</t>
        </is>
      </c>
      <c r="I32" s="2" t="inlineStr">
        <is>
          <t>Natural pest control</t>
        </is>
      </c>
      <c r="J32" s="2" t="inlineStr">
        <is>
          <t>Bioeconomic model with risk analysis (BM, certainty equivalent)</t>
        </is>
      </c>
      <c r="K32" s="2" t="inlineStr">
        <is>
          <t>Belgium (Flanders)</t>
        </is>
      </c>
      <c r="L32" s="2" t="inlineStr">
        <is>
          <t>Farm</t>
        </is>
      </c>
      <c r="M32" s="2" t="inlineStr">
        <is>
          <t>Main text (Section 3)</t>
        </is>
      </c>
      <c r="N32" s="2" t="inlineStr">
        <is>
          <t>Primary valuation study linking an ecological indicator to a monetary value</t>
        </is>
      </c>
    </row>
    <row r="33" ht="15" customHeight="1">
      <c r="A33" s="2" t="n">
        <v>32</v>
      </c>
      <c r="B33" s="3" t="inlineStr">
        <is>
          <t>include</t>
        </is>
      </c>
      <c r="C33" s="2" t="inlineStr">
        <is>
          <t>Greene</t>
        </is>
      </c>
      <c r="D33" s="2" t="inlineStr">
        <is>
          <t>1985</t>
        </is>
      </c>
      <c r="E33" s="2" t="inlineStr">
        <is>
          <t>Greene, Catherine R. and Ralottee, Edwin G. and Norton, George W. and Kramer, Randall A. and McPherson, Robert M.</t>
        </is>
      </c>
      <c r="F33" s="2" t="inlineStr">
        <is>
          <t>Revenue and Risk Analysis of Soybean Pest Management Options in Virginia</t>
        </is>
      </c>
      <c r="G33" s="2" t="inlineStr">
        <is>
          <t>Journal of Economic Entomology</t>
        </is>
      </c>
      <c r="H33" s="2" t="inlineStr">
        <is>
          <t>10.1093/jee/78.1.10</t>
        </is>
      </c>
      <c r="I33" s="2" t="inlineStr">
        <is>
          <t>Natural pest control</t>
        </is>
      </c>
      <c r="J33" s="2" t="inlineStr">
        <is>
          <t>Revenue and risk analysis (BM)</t>
        </is>
      </c>
      <c r="K33" s="2" t="inlineStr">
        <is>
          <t>USA (Virginia)</t>
        </is>
      </c>
      <c r="L33" s="2" t="inlineStr">
        <is>
          <t>Farm</t>
        </is>
      </c>
      <c r="M33" s="2" t="inlineStr">
        <is>
          <t>Main text (Section 3)</t>
        </is>
      </c>
      <c r="N33" s="2" t="inlineStr">
        <is>
          <t>Primary valuation study linking an ecological indicator to a monetary value</t>
        </is>
      </c>
    </row>
    <row r="34" ht="15" customHeight="1">
      <c r="A34" s="2" t="n">
        <v>33</v>
      </c>
      <c r="B34" s="3" t="inlineStr">
        <is>
          <t>include</t>
        </is>
      </c>
      <c r="C34" s="2" t="inlineStr">
        <is>
          <t>Griffiths</t>
        </is>
      </c>
      <c r="D34" s="2" t="inlineStr">
        <is>
          <t>2008</t>
        </is>
      </c>
      <c r="E34" s="2" t="inlineStr">
        <is>
          <t>Griffiths, Georgianne J.K. and Holland, John M. and Bailey, Alastair and Thomas, Matthew B.</t>
        </is>
      </c>
      <c r="F34" s="2" t="inlineStr">
        <is>
          <t>Efficacy and economics of shelter habitats for conservation biological control</t>
        </is>
      </c>
      <c r="G34" s="2" t="inlineStr">
        <is>
          <t>Biological Control</t>
        </is>
      </c>
      <c r="H34" s="2" t="n"/>
      <c r="I34" s="2" t="inlineStr">
        <is>
          <t>Natural pest control</t>
        </is>
      </c>
      <c r="J34" s="2" t="inlineStr">
        <is>
          <t>Cost–benefit analysis of shelter habitats (AC)</t>
        </is>
      </c>
      <c r="K34" s="2" t="inlineStr">
        <is>
          <t>United Kingdom</t>
        </is>
      </c>
      <c r="L34" s="2" t="inlineStr">
        <is>
          <t>Field; farm</t>
        </is>
      </c>
      <c r="M34" s="2" t="inlineStr">
        <is>
          <t>Main text (Section 3)</t>
        </is>
      </c>
      <c r="N34" s="2" t="inlineStr">
        <is>
          <t>Primary valuation study linking an ecological indicator to a monetary value</t>
        </is>
      </c>
    </row>
    <row r="35" ht="15" customHeight="1">
      <c r="A35" s="2" t="n">
        <v>34</v>
      </c>
      <c r="B35" s="3" t="inlineStr">
        <is>
          <t>include</t>
        </is>
      </c>
      <c r="C35" s="2" t="inlineStr">
        <is>
          <t>Johnson</t>
        </is>
      </c>
      <c r="D35" s="2" t="inlineStr">
        <is>
          <t>2010</t>
        </is>
      </c>
      <c r="E35" s="2" t="inlineStr">
        <is>
          <t>Johnson, M. D. and Kellermann, J. L. and Stercho, A. M.</t>
        </is>
      </c>
      <c r="F35" s="2" t="inlineStr">
        <is>
          <t>Pest reduction services by birds in shade and sun coffee in Jamaica</t>
        </is>
      </c>
      <c r="G35" s="2" t="inlineStr">
        <is>
          <t>Animal Conservation</t>
        </is>
      </c>
      <c r="H35" s="2" t="inlineStr">
        <is>
          <t>10.1111/j.1469-1795.2009.00310.x</t>
        </is>
      </c>
      <c r="I35" s="2" t="inlineStr">
        <is>
          <t>Natural pest control</t>
        </is>
      </c>
      <c r="J35" s="2" t="inlineStr">
        <is>
          <t>Yield analysis, exclusion experiment (YA)</t>
        </is>
      </c>
      <c r="K35" s="2" t="inlineStr">
        <is>
          <t>Jamaica</t>
        </is>
      </c>
      <c r="L35" s="2" t="inlineStr">
        <is>
          <t>Plot; farm</t>
        </is>
      </c>
      <c r="M35" s="2" t="inlineStr">
        <is>
          <t>Main text (Section 3)</t>
        </is>
      </c>
      <c r="N35" s="2" t="inlineStr">
        <is>
          <t>Primary valuation study linking an ecological indicator to a monetary value</t>
        </is>
      </c>
    </row>
    <row r="36" hidden="1" ht="15" customHeight="1">
      <c r="A36" s="4" t="n">
        <v>35</v>
      </c>
      <c r="B36" s="5" t="inlineStr">
        <is>
          <t>exclude</t>
        </is>
      </c>
      <c r="C36" s="4" t="inlineStr">
        <is>
          <t>Letourneau</t>
        </is>
      </c>
      <c r="D36" s="4" t="inlineStr">
        <is>
          <t>2015</t>
        </is>
      </c>
      <c r="E36" s="4" t="inlineStr">
        <is>
          <t>Letourneau, Deborah K. and Ando, Amy W. and Jedlicka, Julie A. and Narwani, Anita and Barbier, Edward</t>
        </is>
      </c>
      <c r="F36" s="4" t="inlineStr">
        <is>
          <t>Simple-but-sound methods for estimating the value of changes in biodiversity for biological pest control in agriculture</t>
        </is>
      </c>
      <c r="G36" s="4" t="inlineStr">
        <is>
          <t>Ecological Economics</t>
        </is>
      </c>
      <c r="H36" s="4" t="n"/>
      <c r="I36" s="4" t="inlineStr">
        <is>
          <t>Natural pest control</t>
        </is>
      </c>
      <c r="J36" s="4" t="inlineStr">
        <is>
          <t>Methods paper with production-function example</t>
        </is>
      </c>
      <c r="K36" s="4" t="inlineStr">
        <is>
          <t>USA</t>
        </is>
      </c>
      <c r="L36" s="4" t="inlineStr">
        <is>
          <t>Farm / field</t>
        </is>
      </c>
      <c r="M36" s="4" t="inlineStr"/>
      <c r="N36" s="4" t="inlineStr">
        <is>
          <t>Methodological contribution: proposes estimation methods for the value of biodiversity in pest control; monetary figures are illustrative rather than an empirical valuation of a specific system. Classified consistently with Melathopoulos et al. (2015) and Breeze et al. (2016).</t>
        </is>
      </c>
    </row>
    <row r="37" ht="15" customHeight="1">
      <c r="A37" s="2" t="n">
        <v>36</v>
      </c>
      <c r="B37" s="3" t="inlineStr">
        <is>
          <t>include</t>
        </is>
      </c>
      <c r="C37" s="2" t="inlineStr">
        <is>
          <t>Liapis</t>
        </is>
      </c>
      <c r="D37" s="2" t="inlineStr">
        <is>
          <t>1986</t>
        </is>
      </c>
      <c r="E37" s="2" t="inlineStr">
        <is>
          <t>Liapis, Peter S. and Moffitt, L. Joe</t>
        </is>
      </c>
      <c r="F37" s="2" t="inlineStr">
        <is>
          <t>Economic Analysis of Cotton Integrated Pest Management Strategies: Reply</t>
        </is>
      </c>
      <c r="G37" s="2" t="inlineStr">
        <is>
          <t>Journal of Agricultural and Applied Economics</t>
        </is>
      </c>
      <c r="H37" s="2" t="n"/>
      <c r="I37" s="2" t="inlineStr">
        <is>
          <t>Natural pest control</t>
        </is>
      </c>
      <c r="J37" s="2" t="inlineStr">
        <is>
          <t>Risk-based certainty equivalent (BM)</t>
        </is>
      </c>
      <c r="K37" s="2" t="inlineStr">
        <is>
          <t>USA (Arkansas)</t>
        </is>
      </c>
      <c r="L37" s="2" t="inlineStr">
        <is>
          <t>Farm</t>
        </is>
      </c>
      <c r="M37" s="2" t="inlineStr">
        <is>
          <t>Main text (Section 3)</t>
        </is>
      </c>
      <c r="N37" s="2" t="inlineStr">
        <is>
          <t>Primary valuation study linking an ecological indicator to a monetary value</t>
        </is>
      </c>
    </row>
    <row r="38" ht="15" customHeight="1">
      <c r="A38" s="2" t="n">
        <v>37</v>
      </c>
      <c r="B38" s="3" t="inlineStr">
        <is>
          <t>include</t>
        </is>
      </c>
      <c r="C38" s="2" t="inlineStr">
        <is>
          <t>Lohr</t>
        </is>
      </c>
      <c r="D38" s="2" t="inlineStr">
        <is>
          <t>1999</t>
        </is>
      </c>
      <c r="E38" s="2" t="inlineStr">
        <is>
          <t>Lohr, Luanne and Park, Timothy and Higley, Leon</t>
        </is>
      </c>
      <c r="F38" s="2" t="inlineStr">
        <is>
          <t>Farmer risk assessment for voluntary insecticide reduction</t>
        </is>
      </c>
      <c r="G38" s="2" t="inlineStr">
        <is>
          <t>Ecological Economics</t>
        </is>
      </c>
      <c r="H38" s="2" t="n"/>
      <c r="I38" s="2" t="inlineStr">
        <is>
          <t>Natural pest control</t>
        </is>
      </c>
      <c r="J38" s="2" t="inlineStr">
        <is>
          <t>Stated preference, quasi-market WTP (SPM)</t>
        </is>
      </c>
      <c r="K38" s="2" t="inlineStr">
        <is>
          <t>USA</t>
        </is>
      </c>
      <c r="L38" s="2" t="inlineStr">
        <is>
          <t>Farm</t>
        </is>
      </c>
      <c r="M38" s="2" t="inlineStr">
        <is>
          <t>Main text (Section 3) and Appendix A.6</t>
        </is>
      </c>
      <c r="N38" s="2" t="inlineStr">
        <is>
          <t>Primary valuation study linking an ecological indicator to a monetary value</t>
        </is>
      </c>
    </row>
    <row r="39" ht="15" customHeight="1">
      <c r="A39" s="2" t="n">
        <v>38</v>
      </c>
      <c r="B39" s="3" t="inlineStr">
        <is>
          <t>include</t>
        </is>
      </c>
      <c r="C39" s="2" t="inlineStr">
        <is>
          <t>Myrick</t>
        </is>
      </c>
      <c r="D39" s="2" t="inlineStr">
        <is>
          <t>2014</t>
        </is>
      </c>
      <c r="E39" s="2" t="inlineStr">
        <is>
          <t>Myrick, Stephanie and Norton, George W. and Selvaraj, K. N. and Natarajan, Kiruthika and Muniappan, R.</t>
        </is>
      </c>
      <c r="F39" s="2" t="inlineStr">
        <is>
          <t>Economic impact of classical biological control of papaya mealybug in India</t>
        </is>
      </c>
      <c r="G39" s="2" t="inlineStr">
        <is>
          <t>Crop Protection</t>
        </is>
      </c>
      <c r="H39" s="2" t="n"/>
      <c r="I39" s="2" t="inlineStr">
        <is>
          <t>Natural pest control</t>
        </is>
      </c>
      <c r="J39" s="2" t="inlineStr">
        <is>
          <t>Economic surplus model (ESM)</t>
        </is>
      </c>
      <c r="K39" s="2" t="inlineStr">
        <is>
          <t>India (Tamil Nadu)</t>
        </is>
      </c>
      <c r="L39" s="2" t="inlineStr">
        <is>
          <t>Regional</t>
        </is>
      </c>
      <c r="M39" s="2" t="inlineStr">
        <is>
          <t>Main text (Section 3) and Appendix A.6</t>
        </is>
      </c>
      <c r="N39" s="2" t="inlineStr">
        <is>
          <t>Primary valuation study linking an ecological indicator to a monetary value</t>
        </is>
      </c>
    </row>
    <row r="40" ht="15" customHeight="1">
      <c r="A40" s="2" t="n">
        <v>39</v>
      </c>
      <c r="B40" s="3" t="inlineStr">
        <is>
          <t>include</t>
        </is>
      </c>
      <c r="C40" s="2" t="inlineStr">
        <is>
          <t>Pimentel</t>
        </is>
      </c>
      <c r="D40" s="2" t="inlineStr">
        <is>
          <t>1992</t>
        </is>
      </c>
      <c r="E40" s="2" t="inlineStr">
        <is>
          <t>Pimentel, David and Acquay, H. and Biltonen, M. and Rice, P. and Silva, M. and Nelson, J. and Lipner, V. and Giordano, S. and Horowitz, A. and D'Amore, M.</t>
        </is>
      </c>
      <c r="F40" s="2" t="inlineStr">
        <is>
          <t>Environmental and Economic Costs of Pesticide Use</t>
        </is>
      </c>
      <c r="G40" s="2" t="inlineStr">
        <is>
          <t>BioScience</t>
        </is>
      </c>
      <c r="H40" s="2" t="n"/>
      <c r="I40" s="2" t="inlineStr">
        <is>
          <t>Natural pest control</t>
        </is>
      </c>
      <c r="J40" s="2" t="inlineStr">
        <is>
          <t>Avoided cost: external costs of pesticides (AC)</t>
        </is>
      </c>
      <c r="K40" s="2" t="inlineStr">
        <is>
          <t>USA</t>
        </is>
      </c>
      <c r="L40" s="2" t="inlineStr">
        <is>
          <t>National</t>
        </is>
      </c>
      <c r="M40" s="2" t="inlineStr">
        <is>
          <t>Supplement S2 only</t>
        </is>
      </c>
      <c r="N40" s="2" t="inlineStr">
        <is>
          <t>Primary valuation study linking an ecological indicator to a monetary value</t>
        </is>
      </c>
    </row>
    <row r="41" ht="15" customHeight="1">
      <c r="A41" s="2" t="n">
        <v>40</v>
      </c>
      <c r="B41" s="3" t="inlineStr">
        <is>
          <t>include</t>
        </is>
      </c>
      <c r="C41" s="2" t="inlineStr">
        <is>
          <t>Pimentel</t>
        </is>
      </c>
      <c r="D41" s="2" t="inlineStr">
        <is>
          <t>1993</t>
        </is>
      </c>
      <c r="E41" s="2" t="inlineStr">
        <is>
          <t>Pimentel, David and McLaughlin, Lori and Zepp, Andrew and Lakitan, Benyamin and Kraus, Tamara and Kleinman, Peter and Vancini, Fabius and Roach, W.John and Graap, Ellen and Keeton, William S. and Selig, Gabe</t>
        </is>
      </c>
      <c r="F41" s="2" t="inlineStr">
        <is>
          <t>Environmental and economic effects of reducing pesticide use in agriculture</t>
        </is>
      </c>
      <c r="G41" s="2" t="inlineStr">
        <is>
          <t>Agriculture, Ecosystems \&amp; Environment</t>
        </is>
      </c>
      <c r="H41" s="2" t="n"/>
      <c r="I41" s="2" t="inlineStr">
        <is>
          <t>Natural pest control</t>
        </is>
      </c>
      <c r="J41" s="2" t="inlineStr">
        <is>
          <t>Avoided cost (AC)</t>
        </is>
      </c>
      <c r="K41" s="2" t="inlineStr">
        <is>
          <t>USA</t>
        </is>
      </c>
      <c r="L41" s="2" t="inlineStr">
        <is>
          <t>National</t>
        </is>
      </c>
      <c r="M41" s="2" t="inlineStr">
        <is>
          <t>Main text (Section 3) and Appendix A.6</t>
        </is>
      </c>
      <c r="N41" s="2" t="inlineStr">
        <is>
          <t>Primary valuation study linking an ecological indicator to a monetary value</t>
        </is>
      </c>
    </row>
    <row r="42" ht="15" customHeight="1">
      <c r="A42" s="2" t="n">
        <v>41</v>
      </c>
      <c r="B42" s="3" t="inlineStr">
        <is>
          <t>include</t>
        </is>
      </c>
      <c r="C42" s="2" t="inlineStr">
        <is>
          <t>Raspel</t>
        </is>
      </c>
      <c r="D42" s="2" t="inlineStr">
        <is>
          <t>2006</t>
        </is>
      </c>
      <c r="E42" s="2" t="inlineStr">
        <is>
          <t>Raspel, Stephanie and G\"otte, Elisabeth and Richter, Ellen and Klose, Frauke and Sell, Peter</t>
        </is>
      </c>
      <c r="F42" s="2" t="inlineStr">
        <is>
          <t>Langzeitkosten des biologisch-integrierten Pflanzenschutzes mit N\"utzlingen in Schnittrosen</t>
        </is>
      </c>
      <c r="G42" s="2" t="n"/>
      <c r="H42" s="2" t="n"/>
      <c r="I42" s="2" t="inlineStr">
        <is>
          <t>Natural pest control</t>
        </is>
      </c>
      <c r="J42" s="2" t="inlineStr">
        <is>
          <t>Long-run cost comparison</t>
        </is>
      </c>
      <c r="K42" s="2" t="inlineStr">
        <is>
          <t>Germany (North Rhine-Westphalia)</t>
        </is>
      </c>
      <c r="L42" s="2" t="inlineStr">
        <is>
          <t>Farm (greenhouse)</t>
        </is>
      </c>
      <c r="M42" s="2" t="inlineStr">
        <is>
          <t>Main text (Section 3) and Appendix A.6</t>
        </is>
      </c>
      <c r="N42" s="2" t="inlineStr">
        <is>
          <t>Primary valuation study linking an ecological indicator to a monetary value</t>
        </is>
      </c>
    </row>
    <row r="43" ht="15" customHeight="1">
      <c r="A43" s="2" t="n">
        <v>42</v>
      </c>
      <c r="B43" s="3" t="inlineStr">
        <is>
          <t>include</t>
        </is>
      </c>
      <c r="C43" s="2" t="inlineStr">
        <is>
          <t>Rodríguez-San Pedro</t>
        </is>
      </c>
      <c r="D43" s="2" t="inlineStr">
        <is>
          <t>2020</t>
        </is>
      </c>
      <c r="E43" s="2" t="inlineStr">
        <is>
          <t>Rodr\'iguez-San Pedro, Annia and Allendes, Juan Luis and Beltr\'an, Clemente A. and Chaperon, Pascal N. and Saldarriaga-C\'ordoba, M\'onica M. and Silva, Andrea X. and Grez, Audrey A.</t>
        </is>
      </c>
      <c r="F43" s="2" t="inlineStr">
        <is>
          <t>Quantifying ecological and economic value of pest control services provided by bats in a vineyard landscape of central Chile</t>
        </is>
      </c>
      <c r="G43" s="2" t="inlineStr">
        <is>
          <t>Agriculture, Ecosystems \&amp; Environment</t>
        </is>
      </c>
      <c r="H43" s="2" t="inlineStr">
        <is>
          <t>10.1016/j.agee.2020.107063</t>
        </is>
      </c>
      <c r="I43" s="2" t="inlineStr">
        <is>
          <t>Natural pest control</t>
        </is>
      </c>
      <c r="J43" s="2" t="inlineStr">
        <is>
          <t>Yield analysis, exclusion experiment (BM)</t>
        </is>
      </c>
      <c r="K43" s="2" t="inlineStr">
        <is>
          <t>Chile</t>
        </is>
      </c>
      <c r="L43" s="2" t="inlineStr">
        <is>
          <t>Farm; landscape</t>
        </is>
      </c>
      <c r="M43" s="2" t="inlineStr">
        <is>
          <t>Supplement S2 only</t>
        </is>
      </c>
      <c r="N43" s="2" t="inlineStr">
        <is>
          <t>Primary valuation study linking an ecological indicator to a monetary value</t>
        </is>
      </c>
    </row>
    <row r="44" ht="15" customHeight="1">
      <c r="A44" s="2" t="n">
        <v>43</v>
      </c>
      <c r="B44" s="3" t="inlineStr">
        <is>
          <t>include</t>
        </is>
      </c>
      <c r="C44" s="2" t="inlineStr">
        <is>
          <t>Rulisa</t>
        </is>
      </c>
      <c r="D44" s="2" t="inlineStr">
        <is>
          <t>2021</t>
        </is>
      </c>
      <c r="E44" s="2" t="inlineStr">
        <is>
          <t>Rulisa, Alexis and van Kempen, Luuk and Mutesa, Leon and Hakizimana, Emmanuel and Ingabire, Chantal M. and Kateera, Fredrick and Koenraadt, Constantianus J. M. and van Vugt, Mich\`ele and van den Borne, Bart</t>
        </is>
      </c>
      <c r="F44" s="2" t="inlineStr">
        <is>
          <t>Willingness to Contribute to Bio-Larviciding in the Fight against Malaria: A Contingent Valuation Study among Rice Farmers in Rwanda</t>
        </is>
      </c>
      <c r="G44" s="2" t="inlineStr">
        <is>
          <t>International Journal of Environmental Research and Public Health</t>
        </is>
      </c>
      <c r="H44" s="2" t="inlineStr">
        <is>
          <t>10.3390/ijerph182111575</t>
        </is>
      </c>
      <c r="I44" s="2" t="inlineStr">
        <is>
          <t>Natural pest control</t>
        </is>
      </c>
      <c r="J44" s="2" t="inlineStr">
        <is>
          <t>Stated preference, contingent valuation (SPM)</t>
        </is>
      </c>
      <c r="K44" s="2" t="inlineStr">
        <is>
          <t>Rwanda</t>
        </is>
      </c>
      <c r="L44" s="2" t="inlineStr">
        <is>
          <t>Household; cooperative</t>
        </is>
      </c>
      <c r="M44" s="2" t="inlineStr">
        <is>
          <t>Main text (Section 3) and Appendix A.6</t>
        </is>
      </c>
      <c r="N44" s="2" t="inlineStr">
        <is>
          <t>Primary valuation study linking an ecological indicator to a monetary value</t>
        </is>
      </c>
    </row>
    <row r="45" hidden="1" ht="15" customHeight="1">
      <c r="A45" s="4" t="n">
        <v>44</v>
      </c>
      <c r="B45" s="5" t="inlineStr">
        <is>
          <t>exclude</t>
        </is>
      </c>
      <c r="C45" s="4" t="inlineStr">
        <is>
          <t>S. Swinton</t>
        </is>
      </c>
      <c r="D45" s="4" t="inlineStr">
        <is>
          <t>2008</t>
        </is>
      </c>
      <c r="E45" s="4" t="inlineStr">
        <is>
          <t>S. Swinton</t>
        </is>
      </c>
      <c r="F45" s="4" t="inlineStr">
        <is>
          <t>Reimagining Farms as Managed Ecosystems</t>
        </is>
      </c>
      <c r="G45" s="4" t="n"/>
      <c r="H45" s="4" t="n"/>
      <c r="I45" s="4" t="inlineStr">
        <is>
          <t>Natural pest control</t>
        </is>
      </c>
      <c r="J45" s="4" t="n"/>
      <c r="K45" s="4" t="n"/>
      <c r="L45" s="4" t="n"/>
      <c r="M45" s="4" t="inlineStr"/>
      <c r="N45" s="4" t="inlineStr">
        <is>
          <t>Conceptual (Choices magazine)</t>
        </is>
      </c>
    </row>
    <row r="46" ht="15" customHeight="1">
      <c r="A46" s="2" t="n">
        <v>45</v>
      </c>
      <c r="B46" s="3" t="inlineStr">
        <is>
          <t>include</t>
        </is>
      </c>
      <c r="C46" s="2" t="inlineStr">
        <is>
          <t>Zhang</t>
        </is>
      </c>
      <c r="D46" s="2" t="inlineStr">
        <is>
          <t>2012</t>
        </is>
      </c>
      <c r="E46" s="2" t="inlineStr">
        <is>
          <t>Zhang, W. and Swinton, Scott M.</t>
        </is>
      </c>
      <c r="F46" s="2" t="inlineStr">
        <is>
          <t>Optimal control of soybean aphid in the presence of natural enemies and the implied value of their ecosystem services</t>
        </is>
      </c>
      <c r="G46" s="2" t="inlineStr">
        <is>
          <t>Journal of Environmental Management</t>
        </is>
      </c>
      <c r="H46" s="2" t="n"/>
      <c r="I46" s="2" t="inlineStr">
        <is>
          <t>Natural pest control</t>
        </is>
      </c>
      <c r="J46" s="2" t="inlineStr">
        <is>
          <t>Bioeconomic model, natural-enemy-adjusted threshold (BM)</t>
        </is>
      </c>
      <c r="K46" s="2" t="inlineStr">
        <is>
          <t>USA</t>
        </is>
      </c>
      <c r="L46" s="2" t="inlineStr">
        <is>
          <t>Field</t>
        </is>
      </c>
      <c r="M46" s="2" t="inlineStr">
        <is>
          <t>Main text (Section 3) and Appendix A.6</t>
        </is>
      </c>
      <c r="N46" s="2" t="inlineStr">
        <is>
          <t>Primary valuation study linking an ecological indicator to a monetary value</t>
        </is>
      </c>
    </row>
    <row r="47" ht="15" customHeight="1">
      <c r="A47" s="2" t="n">
        <v>46</v>
      </c>
      <c r="B47" s="3" t="inlineStr">
        <is>
          <t>include</t>
        </is>
      </c>
      <c r="C47" s="2" t="inlineStr">
        <is>
          <t>Zhang</t>
        </is>
      </c>
      <c r="D47" s="2" t="inlineStr">
        <is>
          <t>2018</t>
        </is>
      </c>
      <c r="E47" s="2" t="inlineStr">
        <is>
          <t>Zhang, H.. and Garratt, Michael P.D. and Bailey, Alison and Potts, Simon G. and Breeze, Tom</t>
        </is>
      </c>
      <c r="F47" s="2" t="inlineStr">
        <is>
          <t>Economic valuation of natural pest control of the summer grain aphid in wheat in South East England</t>
        </is>
      </c>
      <c r="G47" s="2" t="inlineStr">
        <is>
          <t>Ecosystem Services</t>
        </is>
      </c>
      <c r="H47" s="2" t="inlineStr">
        <is>
          <t>10.1016/j.ecoser.2018.02.019</t>
        </is>
      </c>
      <c r="I47" s="2" t="inlineStr">
        <is>
          <t>Natural pest control</t>
        </is>
      </c>
      <c r="J47" s="2" t="inlineStr">
        <is>
          <t>Economic surplus model (ESM)</t>
        </is>
      </c>
      <c r="K47" s="2" t="inlineStr">
        <is>
          <t>United Kingdom (South East England)</t>
        </is>
      </c>
      <c r="L47" s="2" t="inlineStr">
        <is>
          <t>Regional</t>
        </is>
      </c>
      <c r="M47" s="2" t="inlineStr">
        <is>
          <t>Main text (Section 3) and Appendix A.6</t>
        </is>
      </c>
      <c r="N47" s="2" t="inlineStr">
        <is>
          <t>Primary valuation study linking an ecological indicator to a monetary value</t>
        </is>
      </c>
    </row>
    <row r="48" ht="15" customHeight="1">
      <c r="A48" s="2" t="n">
        <v>47</v>
      </c>
      <c r="B48" s="3" t="inlineStr">
        <is>
          <t>include</t>
        </is>
      </c>
      <c r="C48" s="2" t="inlineStr">
        <is>
          <t>Lewandowski</t>
        </is>
      </c>
      <c r="D48" s="2" t="inlineStr">
        <is>
          <t>2006</t>
        </is>
      </c>
      <c r="E48" s="2" t="inlineStr">
        <is>
          <t>Lewandowski, I. and Schmidt, U. and Londo, M. and Faaij, A.</t>
        </is>
      </c>
      <c r="F48" s="2" t="inlineStr">
        <is>
          <t>The economic value of the phytoremediation function -- Assessed by the example of cadmium remediation by willow (Salix ssp)</t>
        </is>
      </c>
      <c r="G48" s="2" t="inlineStr">
        <is>
          <t>Agricultural Systems</t>
        </is>
      </c>
      <c r="H48" s="2" t="inlineStr">
        <is>
          <t>10.1016/j.agsy.2005.08.004</t>
        </is>
      </c>
      <c r="I48" s="2" t="inlineStr">
        <is>
          <t>Natural pest control / Soil-related water purification</t>
        </is>
      </c>
      <c r="J48" s="2" t="inlineStr">
        <is>
          <t>Production function / replacement cost (PFM/RC)</t>
        </is>
      </c>
      <c r="K48" s="2" t="inlineStr">
        <is>
          <t>Germany (Freiburg)</t>
        </is>
      </c>
      <c r="L48" s="2" t="inlineStr">
        <is>
          <t>Site; regional</t>
        </is>
      </c>
      <c r="M48" s="2" t="inlineStr">
        <is>
          <t>Main text (Section 3) and Appendix A.6</t>
        </is>
      </c>
      <c r="N48" s="2" t="inlineStr">
        <is>
          <t>Primary valuation study linking an ecological indicator to a monetary value</t>
        </is>
      </c>
    </row>
    <row r="49" ht="15" customHeight="1">
      <c r="A49" s="2" t="n">
        <v>48</v>
      </c>
      <c r="B49" s="3" t="inlineStr">
        <is>
          <t>include</t>
        </is>
      </c>
      <c r="C49" s="2" t="inlineStr">
        <is>
          <t>Sieber</t>
        </is>
      </c>
      <c r="D49" s="2" t="inlineStr">
        <is>
          <t>2010</t>
        </is>
      </c>
      <c r="E49" s="2" t="inlineStr">
        <is>
          <t>Sieber, Stefan and Pannell, David and M\"uller, Klaus and Holm-M\"uller, Karin and Kreins, Peter and Gutsche, Volkmar</t>
        </is>
      </c>
      <c r="F49" s="2" t="inlineStr">
        <is>
          <t>Modelling pesticide risk: A marginal cost--benefit analysis of an environmental buffer-zone programme</t>
        </is>
      </c>
      <c r="G49" s="2" t="inlineStr">
        <is>
          <t>Land Use Policy</t>
        </is>
      </c>
      <c r="H49" s="2" t="n"/>
      <c r="I49" s="2" t="inlineStr">
        <is>
          <t>Natural pest control / Soil-related water purification</t>
        </is>
      </c>
      <c r="J49" s="2" t="inlineStr">
        <is>
          <t>Opportunity cost (OC) with sector model</t>
        </is>
      </c>
      <c r="K49" s="2" t="inlineStr">
        <is>
          <t>Germany</t>
        </is>
      </c>
      <c r="L49" s="2" t="inlineStr">
        <is>
          <t>Regional (Länder)</t>
        </is>
      </c>
      <c r="M49" s="2" t="inlineStr">
        <is>
          <t>Main text (Section 3) and Appendix A.6</t>
        </is>
      </c>
      <c r="N49" s="2" t="inlineStr">
        <is>
          <t>Primary valuation study linking an ecological indicator to a monetary value</t>
        </is>
      </c>
    </row>
    <row r="50" ht="15" customHeight="1">
      <c r="A50" s="2" t="n">
        <v>49</v>
      </c>
      <c r="B50" s="3" t="inlineStr">
        <is>
          <t>include</t>
        </is>
      </c>
      <c r="C50" s="2" t="inlineStr">
        <is>
          <t>Abdalla</t>
        </is>
      </c>
      <c r="D50" s="2" t="inlineStr">
        <is>
          <t>1990</t>
        </is>
      </c>
      <c r="E50" s="2" t="inlineStr">
        <is>
          <t>Abdalla, Charles W.</t>
        </is>
      </c>
      <c r="F50" s="2" t="inlineStr">
        <is>
          <t>MEASURING ECONOMIC LOSSES FROM GROUND WATER CONTAMINATION: AN INVESTIGATION OF HOUSEHOLD AVOIDANCE COSTS 1</t>
        </is>
      </c>
      <c r="G50" s="2" t="inlineStr">
        <is>
          <t>JAWRA Journal of the American Water Resources Association</t>
        </is>
      </c>
      <c r="H50" s="2" t="inlineStr">
        <is>
          <t>10.1111/j.1752-1688.1990.tb01384.x</t>
        </is>
      </c>
      <c r="I50" s="2" t="inlineStr">
        <is>
          <t>Soil-related water purification</t>
        </is>
      </c>
      <c r="J50" s="2" t="inlineStr">
        <is>
          <t>Avoided cost: household averting expenditure (AC)</t>
        </is>
      </c>
      <c r="K50" s="2" t="inlineStr">
        <is>
          <t>USA (Pennsylvania)</t>
        </is>
      </c>
      <c r="L50" s="2" t="inlineStr">
        <is>
          <t>Local</t>
        </is>
      </c>
      <c r="M50" s="2" t="inlineStr">
        <is>
          <t>Supplement S2 only</t>
        </is>
      </c>
      <c r="N50" s="2" t="inlineStr">
        <is>
          <t>Primary valuation study linking an ecological indicator to a monetary value</t>
        </is>
      </c>
    </row>
    <row r="51" hidden="1" ht="15" customHeight="1">
      <c r="A51" s="2" t="n">
        <v>50</v>
      </c>
      <c r="B51" s="3" t="inlineStr">
        <is>
          <t>exclude</t>
        </is>
      </c>
      <c r="C51" s="2" t="inlineStr">
        <is>
          <t>Adams</t>
        </is>
      </c>
      <c r="D51" s="2" t="inlineStr">
        <is>
          <t>1993</t>
        </is>
      </c>
      <c r="E51" s="2" t="inlineStr">
        <is>
          <t>Adams, Richard M. and Adams, DARIUS M. and Callaway, JOHN M. and Chang, CHING--CHENG and Mccarl, BRUCE A.</t>
        </is>
      </c>
      <c r="F51" s="2" t="inlineStr">
        <is>
          <t>SEQUESTERING CARBON ON AGRICULTURAL LAND: SOCIAL COST AND IMPACTS ON TIMBER MARKETS</t>
        </is>
      </c>
      <c r="G51" s="2" t="inlineStr">
        <is>
          <t>Contemporary Economic Policy</t>
        </is>
      </c>
      <c r="H51" s="2" t="n"/>
      <c r="I51" s="2" t="inlineStr">
        <is>
          <t>Soil-related water purification</t>
        </is>
      </c>
      <c r="J51" s="2" t="n"/>
      <c r="K51" s="2" t="n"/>
      <c r="L51" s="2" t="n"/>
      <c r="M51" s="2" t="inlineStr"/>
      <c r="N51" s="2" t="inlineStr">
        <is>
          <t>Outside the review scope (climate regulation / carbon sequestration); retrieved by the broad soil search</t>
        </is>
      </c>
    </row>
    <row r="52" hidden="1" ht="15" customHeight="1">
      <c r="A52" s="2" t="n">
        <v>51</v>
      </c>
      <c r="B52" s="3" t="inlineStr">
        <is>
          <t>exclude</t>
        </is>
      </c>
      <c r="C52" s="2" t="inlineStr">
        <is>
          <t>Aertsens</t>
        </is>
      </c>
      <c r="D52" s="2" t="inlineStr">
        <is>
          <t>2013</t>
        </is>
      </c>
      <c r="E52" s="2" t="inlineStr">
        <is>
          <t>Aertsens, Joris and de Nocker, Leo and Gobin, Anne</t>
        </is>
      </c>
      <c r="F52" s="2" t="inlineStr">
        <is>
          <t>Valuing the carbon sequestration potential for European agriculture</t>
        </is>
      </c>
      <c r="G52" s="2" t="inlineStr">
        <is>
          <t>Land Use Policy</t>
        </is>
      </c>
      <c r="H52" s="2" t="n"/>
      <c r="I52" s="2" t="inlineStr">
        <is>
          <t>Soil-related water purification</t>
        </is>
      </c>
      <c r="J52" s="2" t="n"/>
      <c r="K52" s="2" t="n"/>
      <c r="L52" s="2" t="n"/>
      <c r="M52" s="2" t="inlineStr"/>
      <c r="N52" s="2" t="inlineStr">
        <is>
          <t>Outside the review scope (climate regulation / carbon sequestration); retrieved by the broad soil search</t>
        </is>
      </c>
    </row>
    <row r="53" hidden="1" ht="15" customHeight="1">
      <c r="A53" s="2" t="n">
        <v>52</v>
      </c>
      <c r="B53" s="3" t="inlineStr">
        <is>
          <t>exclude</t>
        </is>
      </c>
      <c r="C53" s="2" t="inlineStr">
        <is>
          <t>Antle</t>
        </is>
      </c>
      <c r="D53" s="2" t="inlineStr">
        <is>
          <t>2001</t>
        </is>
      </c>
      <c r="E53" s="2" t="inlineStr">
        <is>
          <t>Antle, John M. and Capalbo, Susan M. and Mooney, Sin and Elliott, Edward T. and Paustian, Keith H.</t>
        </is>
      </c>
      <c r="F53" s="2" t="inlineStr">
        <is>
          <t>Economic Analysis of Agricultural Soil Carbon Sequestration: An Integrated Assessment Approach</t>
        </is>
      </c>
      <c r="G53" s="2" t="n"/>
      <c r="H53" s="2" t="n"/>
      <c r="I53" s="2" t="inlineStr">
        <is>
          <t>Soil-related water purification</t>
        </is>
      </c>
      <c r="J53" s="2" t="n"/>
      <c r="K53" s="2" t="n"/>
      <c r="L53" s="2" t="n"/>
      <c r="M53" s="2" t="inlineStr"/>
      <c r="N53" s="2" t="inlineStr">
        <is>
          <t>Outside the review scope (climate regulation / carbon sequestration); retrieved by the broad soil search</t>
        </is>
      </c>
    </row>
    <row r="54" hidden="1" ht="15" customHeight="1">
      <c r="A54" s="4" t="n">
        <v>53</v>
      </c>
      <c r="B54" s="5" t="inlineStr">
        <is>
          <t>exclude</t>
        </is>
      </c>
      <c r="C54" s="4" t="inlineStr">
        <is>
          <t>Antle</t>
        </is>
      </c>
      <c r="D54" s="4" t="inlineStr">
        <is>
          <t>2002</t>
        </is>
      </c>
      <c r="E54" s="4" t="inlineStr">
        <is>
          <t>Antle, John M. and Capalbo, Susan M.</t>
        </is>
      </c>
      <c r="F54" s="4" t="inlineStr">
        <is>
          <t>Agriculture as a Managed Ecosystem: Policy Implications</t>
        </is>
      </c>
      <c r="G54" s="4" t="n"/>
      <c r="H54" s="4" t="n"/>
      <c r="I54" s="4" t="inlineStr">
        <is>
          <t>Soil-related water purification</t>
        </is>
      </c>
      <c r="J54" s="4" t="n"/>
      <c r="K54" s="4" t="n"/>
      <c r="L54" s="4" t="n"/>
      <c r="M54" s="4" t="inlineStr"/>
      <c r="N54" s="4" t="inlineStr">
        <is>
          <t>Conceptual / policy paper</t>
        </is>
      </c>
    </row>
    <row r="55" hidden="1" ht="15" customHeight="1">
      <c r="A55" s="4" t="n">
        <v>54</v>
      </c>
      <c r="B55" s="5" t="inlineStr">
        <is>
          <t>exclude</t>
        </is>
      </c>
      <c r="C55" s="4" t="inlineStr">
        <is>
          <t>Barrios</t>
        </is>
      </c>
      <c r="D55" s="4" t="inlineStr">
        <is>
          <t>2007</t>
        </is>
      </c>
      <c r="E55" s="4" t="n"/>
      <c r="F55" s="4" t="inlineStr">
        <is>
          <t>Soil biota, ecosystem services and land productivity</t>
        </is>
      </c>
      <c r="G55" s="4" t="inlineStr">
        <is>
          <t>Ecological Economics</t>
        </is>
      </c>
      <c r="H55" s="4" t="inlineStr">
        <is>
          <t>10.1016/j.ecolecon.2007.03.004</t>
        </is>
      </c>
      <c r="I55" s="4" t="inlineStr">
        <is>
          <t>Soil-related water purification</t>
        </is>
      </c>
      <c r="J55" s="4" t="n"/>
      <c r="K55" s="4" t="n"/>
      <c r="L55" s="4" t="n"/>
      <c r="M55" s="4" t="inlineStr"/>
      <c r="N55" s="4" t="inlineStr">
        <is>
          <t>Review</t>
        </is>
      </c>
    </row>
    <row r="56" ht="15" customHeight="1">
      <c r="A56" s="2" t="n">
        <v>55</v>
      </c>
      <c r="B56" s="3" t="inlineStr">
        <is>
          <t>include</t>
        </is>
      </c>
      <c r="C56" s="2" t="inlineStr">
        <is>
          <t>Brady</t>
        </is>
      </c>
      <c r="D56" s="2" t="inlineStr">
        <is>
          <t>2015</t>
        </is>
      </c>
      <c r="E56" s="2" t="inlineStr">
        <is>
          <t>Brady, Mark V. and Hedlund, Katarina and Cong, Rong--Gang and Hemerik, Lia and Hotes, Stefan and Machado, Stephen and Mattsson, Lennart and Schulz, Elke and Thomsen, Ingrid K.</t>
        </is>
      </c>
      <c r="F56" s="2" t="inlineStr">
        <is>
          <t>Valuing Supporting Soil Ecosystem Services in Agriculture: A Natural Capital Approach</t>
        </is>
      </c>
      <c r="G56" s="2" t="inlineStr">
        <is>
          <t>Agronomy Journal</t>
        </is>
      </c>
      <c r="H56" s="2" t="inlineStr">
        <is>
          <t>10.2134/agronj14.0597</t>
        </is>
      </c>
      <c r="I56" s="2" t="inlineStr">
        <is>
          <t>Soil-related water purification</t>
        </is>
      </c>
      <c r="J56" s="2" t="inlineStr">
        <is>
          <t>Natural capital / production function (PFM)</t>
        </is>
      </c>
      <c r="K56" s="2" t="inlineStr">
        <is>
          <t>Sweden, Denmark, Germany, USA</t>
        </is>
      </c>
      <c r="L56" s="2" t="inlineStr">
        <is>
          <t>Site (long-term experiments)</t>
        </is>
      </c>
      <c r="M56" s="2" t="inlineStr">
        <is>
          <t>Main text (Section 3)</t>
        </is>
      </c>
      <c r="N56" s="2" t="inlineStr">
        <is>
          <t>Primary valuation study linking an ecological indicator to a monetary value</t>
        </is>
      </c>
    </row>
    <row r="57" ht="15" customHeight="1">
      <c r="A57" s="2" t="n">
        <v>56</v>
      </c>
      <c r="B57" s="3" t="inlineStr">
        <is>
          <t>include</t>
        </is>
      </c>
      <c r="C57" s="2" t="inlineStr">
        <is>
          <t>Cong</t>
        </is>
      </c>
      <c r="D57" s="2" t="inlineStr">
        <is>
          <t>2017</t>
        </is>
      </c>
      <c r="E57" s="2" t="inlineStr">
        <is>
          <t>Cong, Rong-Gang and Termansen, Mette and Brady, Mark V.</t>
        </is>
      </c>
      <c r="F57" s="2" t="inlineStr">
        <is>
          <t>Managing soil natural capital: a prudent strategy for adapting to future risks</t>
        </is>
      </c>
      <c r="G57" s="2" t="inlineStr">
        <is>
          <t>Annals of Operations Research</t>
        </is>
      </c>
      <c r="H57" s="2" t="inlineStr">
        <is>
          <t>10.1007/s10479-015-2066-3</t>
        </is>
      </c>
      <c r="I57" s="2" t="inlineStr">
        <is>
          <t>Soil-related water purification</t>
        </is>
      </c>
      <c r="J57" s="2" t="inlineStr">
        <is>
          <t>Natural capital / production function with risk (PFM)</t>
        </is>
      </c>
      <c r="K57" s="2" t="inlineStr">
        <is>
          <t>Sweden</t>
        </is>
      </c>
      <c r="L57" s="2" t="inlineStr">
        <is>
          <t>Farm; regional</t>
        </is>
      </c>
      <c r="M57" s="2" t="inlineStr">
        <is>
          <t>Main text (Section 3)</t>
        </is>
      </c>
      <c r="N57" s="2" t="inlineStr">
        <is>
          <t>Primary valuation study linking an ecological indicator to a monetary value</t>
        </is>
      </c>
    </row>
    <row r="58" ht="15" customHeight="1">
      <c r="A58" s="2" t="n">
        <v>57</v>
      </c>
      <c r="B58" s="3" t="inlineStr">
        <is>
          <t>include</t>
        </is>
      </c>
      <c r="C58" s="2" t="inlineStr">
        <is>
          <t>Dominati</t>
        </is>
      </c>
      <c r="D58" s="2" t="inlineStr">
        <is>
          <t>2014</t>
        </is>
      </c>
      <c r="E58" s="2" t="inlineStr">
        <is>
          <t>Dominati, E. and Mackay, A. and Green, S. and Patterson, M.</t>
        </is>
      </c>
      <c r="F58" s="2" t="inlineStr">
        <is>
          <t>A soil change-based methodology for the quantification and valuation of ecosystem services from agro-ecosystems: A case study of pastoral agriculture in New Zealand</t>
        </is>
      </c>
      <c r="G58" s="2" t="inlineStr">
        <is>
          <t>Ecological Economics</t>
        </is>
      </c>
      <c r="H58" s="2" t="n"/>
      <c r="I58" s="2" t="inlineStr">
        <is>
          <t>Soil-related water purification</t>
        </is>
      </c>
      <c r="J58" s="2" t="inlineStr">
        <is>
          <t>Natural capital / production function, soil change (PFM)</t>
        </is>
      </c>
      <c r="K58" s="2" t="inlineStr">
        <is>
          <t>New Zealand</t>
        </is>
      </c>
      <c r="L58" s="2" t="inlineStr">
        <is>
          <t>Farm</t>
        </is>
      </c>
      <c r="M58" s="2" t="inlineStr">
        <is>
          <t>Main text (Section 3) and Appendix A.6</t>
        </is>
      </c>
      <c r="N58" s="2" t="inlineStr">
        <is>
          <t>Primary valuation study linking an ecological indicator to a monetary value</t>
        </is>
      </c>
    </row>
    <row r="59" ht="15" customHeight="1">
      <c r="A59" s="2" t="n">
        <v>58</v>
      </c>
      <c r="B59" s="3" t="inlineStr">
        <is>
          <t>include</t>
        </is>
      </c>
      <c r="C59" s="2" t="inlineStr">
        <is>
          <t>Dominati</t>
        </is>
      </c>
      <c r="D59" s="2" t="inlineStr">
        <is>
          <t>2016</t>
        </is>
      </c>
      <c r="E59" s="2" t="inlineStr">
        <is>
          <t>Dominati, E. J. and Mackay, A. D. and Bouma, J. and Green, S.</t>
        </is>
      </c>
      <c r="F59" s="2" t="inlineStr">
        <is>
          <t>An Ecosystems Approach to Quantify Soil Performance for Multiple Outcomes: The Future of Land Evaluation?</t>
        </is>
      </c>
      <c r="G59" s="2" t="inlineStr">
        <is>
          <t>Soil Science Society of America Journal</t>
        </is>
      </c>
      <c r="H59" s="2" t="inlineStr">
        <is>
          <t>10.2136/sssaj2015.07.0266</t>
        </is>
      </c>
      <c r="I59" s="2" t="inlineStr">
        <is>
          <t>Soil-related water purification</t>
        </is>
      </c>
      <c r="J59" s="2" t="inlineStr">
        <is>
          <t>Natural capital / production function (PFM)</t>
        </is>
      </c>
      <c r="K59" s="2" t="inlineStr">
        <is>
          <t>New Zealand</t>
        </is>
      </c>
      <c r="L59" s="2" t="inlineStr">
        <is>
          <t>Farm</t>
        </is>
      </c>
      <c r="M59" s="2" t="inlineStr">
        <is>
          <t>Main text (Section 3) and Appendix A.6</t>
        </is>
      </c>
      <c r="N59" s="2" t="inlineStr">
        <is>
          <t>Primary valuation study linking an ecological indicator to a monetary value</t>
        </is>
      </c>
    </row>
    <row r="60" ht="15" customHeight="1">
      <c r="A60" s="2" t="n">
        <v>59</v>
      </c>
      <c r="B60" s="3" t="inlineStr">
        <is>
          <t>include</t>
        </is>
      </c>
      <c r="C60" s="2" t="inlineStr">
        <is>
          <t>Gardner</t>
        </is>
      </c>
      <c r="D60" s="2" t="inlineStr">
        <is>
          <t>1985</t>
        </is>
      </c>
      <c r="E60" s="2" t="inlineStr">
        <is>
          <t>Gardner, Kent and Barrows, Richard</t>
        </is>
      </c>
      <c r="F60" s="2" t="inlineStr">
        <is>
          <t>The Impact of Soil Conservation Investments on Land Prices</t>
        </is>
      </c>
      <c r="G60" s="2" t="inlineStr">
        <is>
          <t>American Journal of Agricultural Economics</t>
        </is>
      </c>
      <c r="H60" s="2" t="inlineStr">
        <is>
          <t>10.2307/1241351</t>
        </is>
      </c>
      <c r="I60" s="2" t="inlineStr">
        <is>
          <t>Soil-related water purification</t>
        </is>
      </c>
      <c r="J60" s="2" t="inlineStr">
        <is>
          <t>Hedonic pricing</t>
        </is>
      </c>
      <c r="K60" s="2" t="inlineStr">
        <is>
          <t>USA (Wisconsin)</t>
        </is>
      </c>
      <c r="L60" s="2" t="inlineStr">
        <is>
          <t>Regional</t>
        </is>
      </c>
      <c r="M60" s="2" t="inlineStr">
        <is>
          <t>Main text (Section 3) and Appendix A.6</t>
        </is>
      </c>
      <c r="N60" s="2" t="inlineStr">
        <is>
          <t>Primary valuation study linking an ecological indicator to a monetary value</t>
        </is>
      </c>
    </row>
    <row r="61" ht="15" customHeight="1">
      <c r="A61" s="2" t="n">
        <v>60</v>
      </c>
      <c r="B61" s="3" t="inlineStr">
        <is>
          <t>include</t>
        </is>
      </c>
      <c r="C61" s="2" t="inlineStr">
        <is>
          <t>Graves</t>
        </is>
      </c>
      <c r="D61" s="2" t="inlineStr">
        <is>
          <t>2015</t>
        </is>
      </c>
      <c r="E61" s="2" t="inlineStr">
        <is>
          <t>Graves, A. R. and Morris, J. and Deeks, L. K. and Rickson, R. J. and Kibblewhite, M. G. and Harris, J. A. and Farewell, T. S. and Truckle, I.</t>
        </is>
      </c>
      <c r="F61" s="2" t="inlineStr">
        <is>
          <t>The total costs of soil degradation in England and Wales</t>
        </is>
      </c>
      <c r="G61" s="2" t="inlineStr">
        <is>
          <t>Ecological Economics</t>
        </is>
      </c>
      <c r="H61" s="2" t="n"/>
      <c r="I61" s="2" t="inlineStr">
        <is>
          <t>Soil-related water purification</t>
        </is>
      </c>
      <c r="J61" s="2" t="inlineStr">
        <is>
          <t>Avoided cost / damage cost (AC)</t>
        </is>
      </c>
      <c r="K61" s="2" t="inlineStr">
        <is>
          <t>United Kingdom (England and Wales)</t>
        </is>
      </c>
      <c r="L61" s="2" t="inlineStr">
        <is>
          <t>National</t>
        </is>
      </c>
      <c r="M61" s="2" t="inlineStr">
        <is>
          <t>Main text (Section 3)</t>
        </is>
      </c>
      <c r="N61" s="2" t="inlineStr">
        <is>
          <t>Primary valuation study linking an ecological indicator to a monetary value</t>
        </is>
      </c>
    </row>
    <row r="62" ht="15" customHeight="1">
      <c r="A62" s="2" t="n">
        <v>61</v>
      </c>
      <c r="B62" s="3" t="inlineStr">
        <is>
          <t>include</t>
        </is>
      </c>
      <c r="C62" s="2" t="inlineStr">
        <is>
          <t>Hertzler</t>
        </is>
      </c>
      <c r="D62" s="2" t="inlineStr">
        <is>
          <t>1985</t>
        </is>
      </c>
      <c r="E62" s="2" t="inlineStr">
        <is>
          <t>Hertzler, Greg and Ibanez--Meier, Carlos A. and Jolly, Robert W.</t>
        </is>
      </c>
      <c r="F62" s="2" t="inlineStr">
        <is>
          <t>User Costs of Soil Erosion and Their Effect on Agricultural Land Prices: Costate Variables and Capitalized Hamiltonians</t>
        </is>
      </c>
      <c r="G62" s="2" t="inlineStr">
        <is>
          <t>American Journal of Agricultural Economics</t>
        </is>
      </c>
      <c r="H62" s="2" t="inlineStr">
        <is>
          <t>10.2307/1241352</t>
        </is>
      </c>
      <c r="I62" s="2" t="inlineStr">
        <is>
          <t>Soil-related water purification</t>
        </is>
      </c>
      <c r="J62" s="2" t="inlineStr">
        <is>
          <t>Hedonic pricing / user cost</t>
        </is>
      </c>
      <c r="K62" s="2" t="inlineStr">
        <is>
          <t>USA (Iowa)</t>
        </is>
      </c>
      <c r="L62" s="2" t="inlineStr">
        <is>
          <t>Regional</t>
        </is>
      </c>
      <c r="M62" s="2" t="inlineStr">
        <is>
          <t>Supplement S2 only</t>
        </is>
      </c>
      <c r="N62" s="2" t="inlineStr">
        <is>
          <t>Primary valuation study linking an ecological indicator to a monetary value</t>
        </is>
      </c>
    </row>
    <row r="63" hidden="1" ht="15" customHeight="1">
      <c r="A63" s="2" t="n">
        <v>62</v>
      </c>
      <c r="B63" s="3" t="inlineStr">
        <is>
          <t>exclude</t>
        </is>
      </c>
      <c r="C63" s="2" t="inlineStr">
        <is>
          <t>Kunwar</t>
        </is>
      </c>
      <c r="D63" s="2" t="inlineStr">
        <is>
          <t>2025</t>
        </is>
      </c>
      <c r="E63" s="2" t="inlineStr">
        <is>
          <t>Kunwar, Saurav Raj and Chambers, Robert G. and Gentry, Laura F. and Serra, Teresa</t>
        </is>
      </c>
      <c r="F63" s="2" t="inlineStr">
        <is>
          <t>What are the carbon services from cover--crop adoption worth from farmers' perspective?</t>
        </is>
      </c>
      <c r="G63" s="2" t="inlineStr">
        <is>
          <t>American Journal of Agricultural Economics</t>
        </is>
      </c>
      <c r="H63" s="2" t="inlineStr">
        <is>
          <t>10.1111/ajae.70005</t>
        </is>
      </c>
      <c r="I63" s="2" t="inlineStr">
        <is>
          <t>Soil-related water purification</t>
        </is>
      </c>
      <c r="J63" s="2" t="n"/>
      <c r="K63" s="2" t="n"/>
      <c r="L63" s="2" t="n"/>
      <c r="M63" s="2" t="inlineStr"/>
      <c r="N63" s="2" t="inlineStr">
        <is>
          <t>Outside the review scope (climate regulation / carbon sequestration); retrieved by the broad soil search</t>
        </is>
      </c>
    </row>
    <row r="64" hidden="1" ht="15" customHeight="1">
      <c r="A64" s="2" t="n">
        <v>63</v>
      </c>
      <c r="B64" s="3" t="inlineStr">
        <is>
          <t>exclude</t>
        </is>
      </c>
      <c r="C64" s="2" t="inlineStr">
        <is>
          <t>Lal</t>
        </is>
      </c>
      <c r="D64" s="2" t="inlineStr">
        <is>
          <t>2004</t>
        </is>
      </c>
      <c r="E64" s="2" t="inlineStr">
        <is>
          <t>Lal, R.</t>
        </is>
      </c>
      <c r="F64" s="2" t="inlineStr">
        <is>
          <t>Soil carbon sequestration impacts on global climate change and food security</t>
        </is>
      </c>
      <c r="G64" s="2" t="inlineStr">
        <is>
          <t>Science (New York, N.Y.)</t>
        </is>
      </c>
      <c r="H64" s="2" t="n"/>
      <c r="I64" s="2" t="inlineStr">
        <is>
          <t>Soil-related water purification</t>
        </is>
      </c>
      <c r="J64" s="2" t="n"/>
      <c r="K64" s="2" t="n"/>
      <c r="L64" s="2" t="n"/>
      <c r="M64" s="2" t="inlineStr"/>
      <c r="N64" s="2" t="inlineStr">
        <is>
          <t>Outside the review scope (climate regulation / carbon sequestration); retrieved by the broad soil search</t>
        </is>
      </c>
    </row>
    <row r="65" ht="15" customHeight="1">
      <c r="A65" s="2" t="n">
        <v>64</v>
      </c>
      <c r="B65" s="3" t="inlineStr">
        <is>
          <t>include</t>
        </is>
      </c>
      <c r="C65" s="2" t="inlineStr">
        <is>
          <t>Liu</t>
        </is>
      </c>
      <c r="D65" s="2" t="inlineStr">
        <is>
          <t>2020</t>
        </is>
      </c>
      <c r="E65" s="2" t="inlineStr">
        <is>
          <t>Liu, Duan and Tang, Runcheng and Xie, Jun and Tian, Jingjing and Shi, Rui and Zhang, Kai</t>
        </is>
      </c>
      <c r="F65" s="2" t="inlineStr">
        <is>
          <t>Valuation of ecosystem services of rice--fish coculture systems in Ruyuan County, China</t>
        </is>
      </c>
      <c r="G65" s="2" t="n"/>
      <c r="H65" s="2" t="n"/>
      <c r="I65" s="2" t="inlineStr">
        <is>
          <t>Soil-related water purification</t>
        </is>
      </c>
      <c r="J65" s="2" t="inlineStr">
        <is>
          <t>Avoided cost and market prices (AC)</t>
        </is>
      </c>
      <c r="K65" s="2" t="inlineStr">
        <is>
          <t>China (Ruyuan County)</t>
        </is>
      </c>
      <c r="L65" s="2" t="inlineStr">
        <is>
          <t>County</t>
        </is>
      </c>
      <c r="M65" s="2" t="inlineStr">
        <is>
          <t>Main text (Section 3) and Appendix A.6</t>
        </is>
      </c>
      <c r="N65" s="2" t="inlineStr">
        <is>
          <t>Primary valuation study linking an ecological indicator to a monetary value</t>
        </is>
      </c>
    </row>
    <row r="66" ht="15" customHeight="1">
      <c r="A66" s="2" t="n">
        <v>65</v>
      </c>
      <c r="B66" s="3" t="inlineStr">
        <is>
          <t>include</t>
        </is>
      </c>
      <c r="C66" s="2" t="inlineStr">
        <is>
          <t>Ma</t>
        </is>
      </c>
      <c r="D66" s="2" t="inlineStr">
        <is>
          <t>2011</t>
        </is>
      </c>
      <c r="E66" s="2" t="inlineStr">
        <is>
          <t>Ma, Shan and Swinton, Scott M.</t>
        </is>
      </c>
      <c r="F66" s="2" t="inlineStr">
        <is>
          <t>Valuation of ecosystem services from rural landscapes using agricultural land prices</t>
        </is>
      </c>
      <c r="G66" s="2" t="inlineStr">
        <is>
          <t>Ecological Economics</t>
        </is>
      </c>
      <c r="H66" s="2" t="n"/>
      <c r="I66" s="2" t="inlineStr">
        <is>
          <t>Soil-related water purification</t>
        </is>
      </c>
      <c r="J66" s="2" t="inlineStr">
        <is>
          <t>Hedonic pricing</t>
        </is>
      </c>
      <c r="K66" s="2" t="inlineStr">
        <is>
          <t>USA (Michigan)</t>
        </is>
      </c>
      <c r="L66" s="2" t="inlineStr">
        <is>
          <t>Regional</t>
        </is>
      </c>
      <c r="M66" s="2" t="inlineStr">
        <is>
          <t>Main text (Section 3)</t>
        </is>
      </c>
      <c r="N66" s="2" t="inlineStr">
        <is>
          <t>Primary valuation study linking an ecological indicator to a monetary value</t>
        </is>
      </c>
    </row>
    <row r="67" ht="15" customHeight="1">
      <c r="A67" s="2" t="n">
        <v>66</v>
      </c>
      <c r="B67" s="3" t="inlineStr">
        <is>
          <t>include</t>
        </is>
      </c>
      <c r="C67" s="2" t="inlineStr">
        <is>
          <t>Ma</t>
        </is>
      </c>
      <c r="D67" s="2" t="inlineStr">
        <is>
          <t>2012</t>
        </is>
      </c>
      <c r="E67" s="2" t="inlineStr">
        <is>
          <t>Ma, Shan and Swinton, Scott M.</t>
        </is>
      </c>
      <c r="F67" s="2" t="inlineStr">
        <is>
          <t>Hedonic Valuation of Farmland Using Sale Prices versus Appraised Values</t>
        </is>
      </c>
      <c r="G67" s="2" t="inlineStr">
        <is>
          <t>Land Economics</t>
        </is>
      </c>
      <c r="H67" s="2" t="n"/>
      <c r="I67" s="2" t="inlineStr">
        <is>
          <t>Soil-related water purification</t>
        </is>
      </c>
      <c r="J67" s="2" t="inlineStr">
        <is>
          <t>Hedonic pricing</t>
        </is>
      </c>
      <c r="K67" s="2" t="inlineStr">
        <is>
          <t>USA (Michigan)</t>
        </is>
      </c>
      <c r="L67" s="2" t="inlineStr">
        <is>
          <t>Regional</t>
        </is>
      </c>
      <c r="M67" s="2" t="inlineStr">
        <is>
          <t>Main text (Section 3)</t>
        </is>
      </c>
      <c r="N67" s="2" t="inlineStr">
        <is>
          <t>Primary valuation study linking an ecological indicator to a monetary value</t>
        </is>
      </c>
    </row>
    <row r="68" hidden="1" ht="15" customHeight="1">
      <c r="A68" s="2" t="n">
        <v>67</v>
      </c>
      <c r="B68" s="3" t="inlineStr">
        <is>
          <t>exclude</t>
        </is>
      </c>
      <c r="C68" s="2" t="inlineStr">
        <is>
          <t>MacSween</t>
        </is>
      </c>
      <c r="D68" s="2" t="inlineStr">
        <is>
          <t>2018</t>
        </is>
      </c>
      <c r="E68" s="2" t="inlineStr">
        <is>
          <t>MacSween, Kirsten and Feliciano, Diana</t>
        </is>
      </c>
      <c r="F68" s="2" t="inlineStr">
        <is>
          <t>Comparison of online greenhouse gas accounting tools for agriculture</t>
        </is>
      </c>
      <c r="G68" s="2" t="n"/>
      <c r="H68" s="2" t="n"/>
      <c r="I68" s="2" t="inlineStr">
        <is>
          <t>Soil-related water purification</t>
        </is>
      </c>
      <c r="J68" s="2" t="n"/>
      <c r="K68" s="2" t="n"/>
      <c r="L68" s="2" t="n"/>
      <c r="M68" s="2" t="inlineStr"/>
      <c r="N68" s="2" t="inlineStr">
        <is>
          <t>Outside the review scope (climate regulation / carbon sequestration); retrieved by the broad soil search</t>
        </is>
      </c>
    </row>
    <row r="69" hidden="1" ht="15" customHeight="1">
      <c r="A69" s="4" t="n">
        <v>68</v>
      </c>
      <c r="B69" s="5" t="inlineStr">
        <is>
          <t>exclude</t>
        </is>
      </c>
      <c r="C69" s="4" t="inlineStr">
        <is>
          <t>Martínez-García</t>
        </is>
      </c>
      <c r="D69" s="4" t="inlineStr">
        <is>
          <t>2022</t>
        </is>
      </c>
      <c r="E69" s="4" t="inlineStr">
        <is>
          <t>Mart\'inez-Garc\'ia, V\'ictor and Mart\'inez-Paz, Jos\'e M. and Alcon, Francisco</t>
        </is>
      </c>
      <c r="F69" s="4" t="inlineStr">
        <is>
          <t>The economic value of flood risk regulation by agroecosystems at semiarid areas</t>
        </is>
      </c>
      <c r="G69" s="4" t="inlineStr">
        <is>
          <t>Agricultural Water Management</t>
        </is>
      </c>
      <c r="H69" s="4" t="n"/>
      <c r="I69" s="4" t="inlineStr">
        <is>
          <t>Soil-related water purification</t>
        </is>
      </c>
      <c r="J69" s="4" t="inlineStr">
        <is>
          <t>Avoided damage (flood regulation)</t>
        </is>
      </c>
      <c r="K69" s="4" t="inlineStr">
        <is>
          <t>Spain</t>
        </is>
      </c>
      <c r="L69" s="4" t="inlineStr">
        <is>
          <t>Regional</t>
        </is>
      </c>
      <c r="M69" s="4" t="inlineStr"/>
      <c r="N69" s="4" t="inlineStr">
        <is>
          <t>Values flood-risk regulation by agroecosystems; the service lies outside the three services reviewed (pollination, natural pest control, soil-related water purification). Excluded under the same scope rule applied to carbon sequestration and climate regulation.</t>
        </is>
      </c>
    </row>
    <row r="70" hidden="1" ht="15" customHeight="1">
      <c r="A70" s="2" t="n">
        <v>69</v>
      </c>
      <c r="B70" s="3" t="inlineStr">
        <is>
          <t>exclude</t>
        </is>
      </c>
      <c r="C70" s="2" t="inlineStr">
        <is>
          <t>McCarl</t>
        </is>
      </c>
      <c r="D70" s="2" t="inlineStr">
        <is>
          <t>2001</t>
        </is>
      </c>
      <c r="E70" s="2" t="inlineStr">
        <is>
          <t>McCarl, B. A. and Schneider, U. A.</t>
        </is>
      </c>
      <c r="F70" s="2" t="inlineStr">
        <is>
          <t>Climate change. Greenhouse gas mitigation in U.S. agriculture and forestry</t>
        </is>
      </c>
      <c r="G70" s="2" t="inlineStr">
        <is>
          <t>Science (New York, N.Y.)</t>
        </is>
      </c>
      <c r="H70" s="2" t="n"/>
      <c r="I70" s="2" t="inlineStr">
        <is>
          <t>Soil-related water purification</t>
        </is>
      </c>
      <c r="J70" s="2" t="n"/>
      <c r="K70" s="2" t="n"/>
      <c r="L70" s="2" t="n"/>
      <c r="M70" s="2" t="inlineStr"/>
      <c r="N70" s="2" t="inlineStr">
        <is>
          <t>Outside the review scope (climate regulation / carbon sequestration); retrieved by the broad soil search</t>
        </is>
      </c>
    </row>
    <row r="71" ht="15" customHeight="1">
      <c r="A71" s="2" t="n">
        <v>70</v>
      </c>
      <c r="B71" s="3" t="inlineStr">
        <is>
          <t>include</t>
        </is>
      </c>
      <c r="C71" s="2" t="inlineStr">
        <is>
          <t>Miranowski</t>
        </is>
      </c>
      <c r="D71" s="2" t="inlineStr">
        <is>
          <t>1984</t>
        </is>
      </c>
      <c r="E71" s="2" t="inlineStr">
        <is>
          <t>Miranowski, John A. and Hammes, Brian D.</t>
        </is>
      </c>
      <c r="F71" s="2" t="inlineStr">
        <is>
          <t>Implicit Prices of Soil Characteristics for Farmland in Iowa</t>
        </is>
      </c>
      <c r="G71" s="2" t="inlineStr">
        <is>
          <t>American Journal of Agricultural Economics</t>
        </is>
      </c>
      <c r="H71" s="2" t="n"/>
      <c r="I71" s="2" t="inlineStr">
        <is>
          <t>Soil-related water purification</t>
        </is>
      </c>
      <c r="J71" s="2" t="inlineStr">
        <is>
          <t>Hedonic pricing</t>
        </is>
      </c>
      <c r="K71" s="2" t="inlineStr">
        <is>
          <t>USA (Iowa)</t>
        </is>
      </c>
      <c r="L71" s="2" t="inlineStr">
        <is>
          <t>Regional</t>
        </is>
      </c>
      <c r="M71" s="2" t="inlineStr">
        <is>
          <t>Main text (Section 3) and Appendix A.6</t>
        </is>
      </c>
      <c r="N71" s="2" t="inlineStr">
        <is>
          <t>Primary valuation study linking an ecological indicator to a monetary value</t>
        </is>
      </c>
    </row>
    <row r="72" ht="15" customHeight="1">
      <c r="A72" s="2" t="n">
        <v>71</v>
      </c>
      <c r="B72" s="3" t="inlineStr">
        <is>
          <t>include</t>
        </is>
      </c>
      <c r="C72" s="2" t="inlineStr">
        <is>
          <t>Palmquist</t>
        </is>
      </c>
      <c r="D72" s="2" t="inlineStr">
        <is>
          <t>1989</t>
        </is>
      </c>
      <c r="E72" s="2" t="inlineStr">
        <is>
          <t>Palmquist, Raymond B. and Danielson, Leon E.</t>
        </is>
      </c>
      <c r="F72" s="2" t="inlineStr">
        <is>
          <t>A Hedonic Study of the Effects of Erosion Control and Drainage on Farmland Values</t>
        </is>
      </c>
      <c r="G72" s="2" t="inlineStr">
        <is>
          <t>American Journal of Agricultural Economics</t>
        </is>
      </c>
      <c r="H72" s="2" t="inlineStr">
        <is>
          <t>10.2307/1241774</t>
        </is>
      </c>
      <c r="I72" s="2" t="inlineStr">
        <is>
          <t>Soil-related water purification</t>
        </is>
      </c>
      <c r="J72" s="2" t="inlineStr">
        <is>
          <t>Hedonic pricing</t>
        </is>
      </c>
      <c r="K72" s="2" t="inlineStr">
        <is>
          <t>USA (North Carolina)</t>
        </is>
      </c>
      <c r="L72" s="2" t="inlineStr">
        <is>
          <t>Regional</t>
        </is>
      </c>
      <c r="M72" s="2" t="inlineStr">
        <is>
          <t>Main text (Section 3) and Appendix A.6</t>
        </is>
      </c>
      <c r="N72" s="2" t="inlineStr">
        <is>
          <t>Primary valuation study linking an ecological indicator to a monetary value</t>
        </is>
      </c>
    </row>
    <row r="73" hidden="1" ht="15" customHeight="1">
      <c r="A73" s="2" t="n">
        <v>72</v>
      </c>
      <c r="B73" s="3" t="inlineStr">
        <is>
          <t>exclude</t>
        </is>
      </c>
      <c r="C73" s="2" t="inlineStr">
        <is>
          <t>Pandey</t>
        </is>
      </c>
      <c r="D73" s="2" t="inlineStr">
        <is>
          <t>2025</t>
        </is>
      </c>
      <c r="E73" s="2" t="inlineStr">
        <is>
          <t>Pandey, Subodh Raj and Liu, Xiangping and Racelis, Alexis and Soti, Pushpa</t>
        </is>
      </c>
      <c r="F73" s="2" t="inlineStr">
        <is>
          <t>Estimating economic benefits of cover cropping on carbon and nitrogen storage on organic farms</t>
        </is>
      </c>
      <c r="G73" s="2" t="inlineStr">
        <is>
          <t>Agroecology and Sustainable Food Systems</t>
        </is>
      </c>
      <c r="H73" s="2" t="n"/>
      <c r="I73" s="2" t="inlineStr">
        <is>
          <t>Soil-related water purification</t>
        </is>
      </c>
      <c r="J73" s="2" t="n"/>
      <c r="K73" s="2" t="n"/>
      <c r="L73" s="2" t="n"/>
      <c r="M73" s="2" t="inlineStr"/>
      <c r="N73" s="2" t="inlineStr">
        <is>
          <t>Outside the review scope (climate regulation / carbon sequestration); retrieved by the broad soil search</t>
        </is>
      </c>
    </row>
    <row r="74" ht="15" customHeight="1">
      <c r="A74" s="2" t="n">
        <v>73</v>
      </c>
      <c r="B74" s="3" t="inlineStr">
        <is>
          <t>include</t>
        </is>
      </c>
      <c r="C74" s="2" t="inlineStr">
        <is>
          <t>Paulin</t>
        </is>
      </c>
      <c r="D74" s="2" t="inlineStr">
        <is>
          <t>2022</t>
        </is>
      </c>
      <c r="E74" s="2" t="inlineStr">
        <is>
          <t>Paulin, M. J. and Koopman, K. R. and Melman, R. R. and Kok, S. and de Knegt, B.</t>
        </is>
      </c>
      <c r="F74" s="2" t="inlineStr">
        <is>
          <t>Ruimtelijke MKBA Alblasserwaard-Vijfheerenlanden. Waar is toepassing van drukdrainage maatschappelijk gezien rendabel?</t>
        </is>
      </c>
      <c r="G74" s="2" t="n"/>
      <c r="H74" s="2" t="n"/>
      <c r="I74" s="2" t="inlineStr">
        <is>
          <t>Soil-related water purification</t>
        </is>
      </c>
      <c r="J74" s="2" t="inlineStr">
        <is>
          <t>Abatement / damage cost, social CBA (AbC/DCA)</t>
        </is>
      </c>
      <c r="K74" s="2" t="inlineStr">
        <is>
          <t>Netherlands</t>
        </is>
      </c>
      <c r="L74" s="2" t="inlineStr">
        <is>
          <t>Regional</t>
        </is>
      </c>
      <c r="M74" s="2" t="inlineStr">
        <is>
          <t>Main text (Section 3)</t>
        </is>
      </c>
      <c r="N74" s="2" t="inlineStr">
        <is>
          <t>Primary valuation study linking an ecological indicator to a monetary value</t>
        </is>
      </c>
    </row>
    <row r="75" ht="15" customHeight="1">
      <c r="A75" s="2" t="n">
        <v>74</v>
      </c>
      <c r="B75" s="3" t="inlineStr">
        <is>
          <t>include</t>
        </is>
      </c>
      <c r="C75" s="2" t="inlineStr">
        <is>
          <t>Pimentel</t>
        </is>
      </c>
      <c r="D75" s="2" t="inlineStr">
        <is>
          <t>1995</t>
        </is>
      </c>
      <c r="E75" s="2" t="inlineStr">
        <is>
          <t>Pimentel, D. and Harvey, C. and Resosudarmo, P. and Sinclair, K. and Kurz, D. and McNair, M. and Crist, S. and Shpritz, L. and Fitton, L. and Saffouri, R. and Blair, R.</t>
        </is>
      </c>
      <c r="F75" s="2" t="inlineStr">
        <is>
          <t>Environmental and economic costs of soil erosion and conservation benefits</t>
        </is>
      </c>
      <c r="G75" s="2" t="inlineStr">
        <is>
          <t>Science (New York, N.Y.)</t>
        </is>
      </c>
      <c r="H75" s="2" t="n"/>
      <c r="I75" s="2" t="inlineStr">
        <is>
          <t>Soil-related water purification</t>
        </is>
      </c>
      <c r="J75" s="2" t="inlineStr">
        <is>
          <t>Avoided cost: erosion damage (AC)</t>
        </is>
      </c>
      <c r="K75" s="2" t="inlineStr">
        <is>
          <t>USA; global</t>
        </is>
      </c>
      <c r="L75" s="2" t="inlineStr">
        <is>
          <t>National</t>
        </is>
      </c>
      <c r="M75" s="2" t="inlineStr">
        <is>
          <t>Supplement S2 only</t>
        </is>
      </c>
      <c r="N75" s="2" t="inlineStr">
        <is>
          <t>Primary valuation study linking an ecological indicator to a monetary value</t>
        </is>
      </c>
    </row>
    <row r="76" ht="15" customHeight="1">
      <c r="A76" s="2" t="n">
        <v>75</v>
      </c>
      <c r="B76" s="3" t="inlineStr">
        <is>
          <t>include</t>
        </is>
      </c>
      <c r="C76" s="2" t="inlineStr">
        <is>
          <t>Reinhard</t>
        </is>
      </c>
      <c r="D76" s="2" t="inlineStr">
        <is>
          <t>2014</t>
        </is>
      </c>
      <c r="E76" s="2" t="inlineStr">
        <is>
          <t>Reinhard, A. J. and R. Nieuwkamer and W. Dijkman and N.B.P. Polman and E. Ruijgrok</t>
        </is>
      </c>
      <c r="F76" s="2" t="inlineStr">
        <is>
          <t>MKBA Engbertsdijkvenen</t>
        </is>
      </c>
      <c r="G76" s="2" t="n"/>
      <c r="H76" s="2" t="n"/>
      <c r="I76" s="2" t="inlineStr">
        <is>
          <t>Soil-related water purification</t>
        </is>
      </c>
      <c r="J76" s="2" t="inlineStr">
        <is>
          <t>Replacement cost, social CBA (RC)</t>
        </is>
      </c>
      <c r="K76" s="2" t="inlineStr">
        <is>
          <t>Netherlands</t>
        </is>
      </c>
      <c r="L76" s="2" t="inlineStr">
        <is>
          <t>Site; regional</t>
        </is>
      </c>
      <c r="M76" s="2" t="inlineStr">
        <is>
          <t>Main text (Section 3) and Appendix A.6</t>
        </is>
      </c>
      <c r="N76" s="2" t="inlineStr">
        <is>
          <t>Primary valuation study linking an ecological indicator to a monetary value</t>
        </is>
      </c>
    </row>
    <row r="77" ht="15" customHeight="1">
      <c r="A77" s="2" t="n">
        <v>76</v>
      </c>
      <c r="B77" s="3" t="inlineStr">
        <is>
          <t>include</t>
        </is>
      </c>
      <c r="C77" s="2" t="inlineStr">
        <is>
          <t>Roka</t>
        </is>
      </c>
      <c r="D77" s="2" t="inlineStr">
        <is>
          <t>1997</t>
        </is>
      </c>
      <c r="E77" s="2" t="inlineStr">
        <is>
          <t>Roka, Fritz M. and Palmquist, Raymond B.</t>
        </is>
      </c>
      <c r="F77" s="2" t="inlineStr">
        <is>
          <t>Examining the Use of National Databases in a Hedonic Analysis of Regional Farmland Values</t>
        </is>
      </c>
      <c r="G77" s="2" t="n"/>
      <c r="H77" s="2" t="n"/>
      <c r="I77" s="2" t="inlineStr">
        <is>
          <t>Soil-related water purification</t>
        </is>
      </c>
      <c r="J77" s="2" t="inlineStr">
        <is>
          <t>Hedonic pricing</t>
        </is>
      </c>
      <c r="K77" s="2" t="inlineStr">
        <is>
          <t>USA</t>
        </is>
      </c>
      <c r="L77" s="2" t="inlineStr">
        <is>
          <t>Regional</t>
        </is>
      </c>
      <c r="M77" s="2" t="inlineStr">
        <is>
          <t>Supplement S2 only</t>
        </is>
      </c>
      <c r="N77" s="2" t="inlineStr">
        <is>
          <t>Primary valuation study linking an ecological indicator to a monetary value</t>
        </is>
      </c>
    </row>
    <row r="78" ht="15" customHeight="1">
      <c r="A78" s="2" t="n">
        <v>77</v>
      </c>
      <c r="B78" s="3" t="inlineStr">
        <is>
          <t>include</t>
        </is>
      </c>
      <c r="C78" s="2" t="inlineStr">
        <is>
          <t>San</t>
        </is>
      </c>
      <c r="D78" s="2" t="inlineStr">
        <is>
          <t>2010</t>
        </is>
      </c>
      <c r="E78" s="2" t="inlineStr">
        <is>
          <t>San, Cho cho and Rapera, Corazon</t>
        </is>
      </c>
      <c r="F78" s="2" t="inlineStr">
        <is>
          <t>The on-site cost of soil erosion by the replacement cost methods in Inle Lake Watershed, Nyaung Shwe Township, Myanmar</t>
        </is>
      </c>
      <c r="G78" s="2" t="n"/>
      <c r="H78" s="2" t="n"/>
      <c r="I78" s="2" t="inlineStr">
        <is>
          <t>Soil-related water purification</t>
        </is>
      </c>
      <c r="J78" s="2" t="inlineStr">
        <is>
          <t>Replacement cost (RC)</t>
        </is>
      </c>
      <c r="K78" s="2" t="inlineStr">
        <is>
          <t>Myanmar</t>
        </is>
      </c>
      <c r="L78" s="2" t="inlineStr">
        <is>
          <t>Watershed</t>
        </is>
      </c>
      <c r="M78" s="2" t="inlineStr">
        <is>
          <t>Main text (Section 3) and Appendix A.6</t>
        </is>
      </c>
      <c r="N78" s="2" t="inlineStr">
        <is>
          <t>Primary valuation study linking an ecological indicator to a monetary value</t>
        </is>
      </c>
    </row>
    <row r="79" ht="15" customHeight="1">
      <c r="A79" s="2" t="n">
        <v>78</v>
      </c>
      <c r="B79" s="3" t="inlineStr">
        <is>
          <t>include</t>
        </is>
      </c>
      <c r="C79" s="2" t="inlineStr">
        <is>
          <t>Smith</t>
        </is>
      </c>
      <c r="D79" s="2" t="inlineStr">
        <is>
          <t>1990</t>
        </is>
      </c>
      <c r="E79" s="2" t="inlineStr">
        <is>
          <t>Smith, Elwin G. and Shaykewich, Carl F.</t>
        </is>
      </c>
      <c r="F79" s="2" t="inlineStr">
        <is>
          <t>The Economics of Soil Erosion and Conservation on Six Soil Groupings in Manitoba</t>
        </is>
      </c>
      <c r="G79" s="2" t="inlineStr">
        <is>
          <t>Canadian Journal of Agricultural Economics/Revue canadienne d'agroeconomie</t>
        </is>
      </c>
      <c r="H79" s="2" t="n"/>
      <c r="I79" s="2" t="inlineStr">
        <is>
          <t>Soil-related water purification</t>
        </is>
      </c>
      <c r="J79" s="2" t="inlineStr">
        <is>
          <t>Farm-level cost–benefit analysis</t>
        </is>
      </c>
      <c r="K79" s="2" t="inlineStr">
        <is>
          <t>Canada (Manitoba)</t>
        </is>
      </c>
      <c r="L79" s="2" t="inlineStr">
        <is>
          <t>Farm</t>
        </is>
      </c>
      <c r="M79" s="2" t="inlineStr">
        <is>
          <t>Supplement S2 only</t>
        </is>
      </c>
      <c r="N79" s="2" t="inlineStr">
        <is>
          <t>Primary valuation study linking an ecological indicator to a monetary value</t>
        </is>
      </c>
    </row>
    <row r="80" hidden="1" ht="15" customHeight="1">
      <c r="A80" s="2" t="n">
        <v>79</v>
      </c>
      <c r="B80" s="3" t="inlineStr">
        <is>
          <t>exclude</t>
        </is>
      </c>
      <c r="C80" s="2" t="inlineStr">
        <is>
          <t>Smith</t>
        </is>
      </c>
      <c r="D80" s="2" t="inlineStr">
        <is>
          <t>2008</t>
        </is>
      </c>
      <c r="E80" s="2" t="inlineStr">
        <is>
          <t>Smith, Pete and Martino, Daniel and Cai, Zucong and Gwary, Daniel and Janzen, Henry and Kumar, Pushpam and McCarl, Bruce and Ogle, Stephen and O'Mara, Frank and Rice, Charles and Scholes, Bob and Sirotenko, Oleg and Howden, Mark and McAllister, Tim and Pan, Genxing and Romanenkov, Vladimir and Schneider, Uwe and Towprayoon, Sirintornthep and Wattenbach, Martin and Smith, Jo</t>
        </is>
      </c>
      <c r="F80" s="2" t="inlineStr">
        <is>
          <t>Greenhouse gas mitigation in agriculture</t>
        </is>
      </c>
      <c r="G80" s="2" t="inlineStr">
        <is>
          <t>Philosophical transactions of the Royal Society of London. Series B, Biological sciences</t>
        </is>
      </c>
      <c r="H80" s="2" t="n"/>
      <c r="I80" s="2" t="inlineStr">
        <is>
          <t>Soil-related water purification</t>
        </is>
      </c>
      <c r="J80" s="2" t="n"/>
      <c r="K80" s="2" t="n"/>
      <c r="L80" s="2" t="n"/>
      <c r="M80" s="2" t="inlineStr"/>
      <c r="N80" s="2" t="inlineStr">
        <is>
          <t>Outside the review scope (climate regulation / carbon sequestration); retrieved by the broad soil search</t>
        </is>
      </c>
    </row>
    <row r="81" hidden="1" ht="15" customHeight="1">
      <c r="A81" s="2" t="n">
        <v>80</v>
      </c>
      <c r="B81" s="3" t="inlineStr">
        <is>
          <t>exclude</t>
        </is>
      </c>
      <c r="C81" s="2" t="inlineStr">
        <is>
          <t>Sperow</t>
        </is>
      </c>
      <c r="D81" s="2" t="inlineStr">
        <is>
          <t>2020</t>
        </is>
      </c>
      <c r="E81" s="2" t="inlineStr">
        <is>
          <t>Sperow, Mark</t>
        </is>
      </c>
      <c r="F81" s="2" t="inlineStr">
        <is>
          <t>What might it cost to increase soil organic carbon using no-till on U.S. cropland?</t>
        </is>
      </c>
      <c r="G81" s="2" t="inlineStr">
        <is>
          <t>Carbon Balance and Management</t>
        </is>
      </c>
      <c r="H81" s="2" t="inlineStr">
        <is>
          <t>10.1186/s13021-020-00162-3</t>
        </is>
      </c>
      <c r="I81" s="2" t="inlineStr">
        <is>
          <t>Soil-related water purification</t>
        </is>
      </c>
      <c r="J81" s="2" t="n"/>
      <c r="K81" s="2" t="n"/>
      <c r="L81" s="2" t="n"/>
      <c r="M81" s="2" t="inlineStr"/>
      <c r="N81" s="2" t="inlineStr">
        <is>
          <t>Outside the review scope (climate regulation / carbon sequestration); retrieved by the broad soil search</t>
        </is>
      </c>
    </row>
    <row r="82" hidden="1" ht="15" customHeight="1">
      <c r="A82" s="4" t="n">
        <v>81</v>
      </c>
      <c r="B82" s="5" t="inlineStr">
        <is>
          <t>exclude</t>
        </is>
      </c>
      <c r="C82" s="4" t="inlineStr">
        <is>
          <t>Balmford</t>
        </is>
      </c>
      <c r="D82" s="4" t="inlineStr">
        <is>
          <t>2002</t>
        </is>
      </c>
      <c r="E82" s="4" t="inlineStr">
        <is>
          <t>Balmford, Andrew and Bruner, Aaron and Cooper, Philip and Costanza, Robert and Farber, Stephen and Green, Rhys E. and Jenkins, Martin and Jefferiss, Paul and Jessamy, Valma and Madden, Joah and Munro, Kat and Myers, Norman and Naeem, Shahid and Paavola, Jouni and Rayment, Matthew and Rosendo, Sergio and Roughgarden, Joan and Trumper, Kate and Turner, R. Kerry</t>
        </is>
      </c>
      <c r="F82" s="4" t="inlineStr">
        <is>
          <t>Economic reasons for conserving wild nature</t>
        </is>
      </c>
      <c r="G82" s="4" t="inlineStr">
        <is>
          <t>Science (New York, N.Y.)</t>
        </is>
      </c>
      <c r="H82" s="4" t="n"/>
      <c r="I82" s="4" t="inlineStr">
        <is>
          <t>Multiple services</t>
        </is>
      </c>
      <c r="J82" s="4" t="n"/>
      <c r="K82" s="4" t="n"/>
      <c r="L82" s="4" t="n"/>
      <c r="M82" s="4" t="inlineStr"/>
      <c r="N82" s="4" t="inlineStr">
        <is>
          <t>Global synthesis, not farm-level</t>
        </is>
      </c>
    </row>
    <row r="83" hidden="1" ht="15" customHeight="1">
      <c r="A83" s="4" t="n">
        <v>82</v>
      </c>
      <c r="B83" s="5" t="inlineStr">
        <is>
          <t>exclude</t>
        </is>
      </c>
      <c r="C83" s="4" t="inlineStr">
        <is>
          <t>Boyle</t>
        </is>
      </c>
      <c r="D83" s="4" t="inlineStr">
        <is>
          <t>1987</t>
        </is>
      </c>
      <c r="E83" s="4" t="inlineStr">
        <is>
          <t>Boyle, Kevin J. and Bishop, Richard C.</t>
        </is>
      </c>
      <c r="F83" s="4" t="inlineStr">
        <is>
          <t>Valuing wildlife in benefit--cost analyses: A case study involving endangered species</t>
        </is>
      </c>
      <c r="G83" s="4" t="inlineStr">
        <is>
          <t>Water Resources Research</t>
        </is>
      </c>
      <c r="H83" s="4" t="n"/>
      <c r="I83" s="4" t="inlineStr">
        <is>
          <t>Multiple services</t>
        </is>
      </c>
      <c r="J83" s="4" t="n"/>
      <c r="K83" s="4" t="n"/>
      <c r="L83" s="4" t="n"/>
      <c r="M83" s="4" t="inlineStr"/>
      <c r="N83" s="4" t="inlineStr">
        <is>
          <t>Off-topic (endangered species CV)</t>
        </is>
      </c>
    </row>
    <row r="84" ht="15" customHeight="1">
      <c r="A84" s="2" t="n">
        <v>83</v>
      </c>
      <c r="B84" s="3" t="inlineStr">
        <is>
          <t>include</t>
        </is>
      </c>
      <c r="C84" s="2" t="inlineStr">
        <is>
          <t>Horlings</t>
        </is>
      </c>
      <c r="D84" s="2" t="inlineStr">
        <is>
          <t>2020</t>
        </is>
      </c>
      <c r="E84" s="2" t="inlineStr">
        <is>
          <t>Horlings, Edwin and Schenau, Sjoerd and Hein, L. and Lof, Marjolein and de Jongh, Linda and Polder, Michael</t>
        </is>
      </c>
      <c r="F84" s="2" t="inlineStr">
        <is>
          <t>Experimental monetary valuation of ecosystem services and assets in the Netherlands</t>
        </is>
      </c>
      <c r="G84" s="2" t="n"/>
      <c r="H84" s="2" t="n"/>
      <c r="I84" s="2" t="inlineStr">
        <is>
          <t>Multiple services</t>
        </is>
      </c>
      <c r="J84" s="2" t="inlineStr">
        <is>
          <t>National ecosystem accounting (SEEA): RC, DR, market prices</t>
        </is>
      </c>
      <c r="K84" s="2" t="inlineStr">
        <is>
          <t>Netherlands</t>
        </is>
      </c>
      <c r="L84" s="2" t="inlineStr">
        <is>
          <t>National</t>
        </is>
      </c>
      <c r="M84" s="2" t="inlineStr">
        <is>
          <t>Main text (Section 3) and Appendix A.6</t>
        </is>
      </c>
      <c r="N84" s="2" t="inlineStr">
        <is>
          <t>Primary valuation study linking an ecological indicator to a monetary value</t>
        </is>
      </c>
    </row>
    <row r="85" ht="15" customHeight="1">
      <c r="A85" s="2" t="n">
        <v>84</v>
      </c>
      <c r="B85" s="3" t="inlineStr">
        <is>
          <t>include</t>
        </is>
      </c>
      <c r="C85" s="2" t="inlineStr">
        <is>
          <t>Losey</t>
        </is>
      </c>
      <c r="D85" s="2" t="inlineStr">
        <is>
          <t>2006</t>
        </is>
      </c>
      <c r="E85" s="2" t="inlineStr">
        <is>
          <t>Losey, John E. and Vaughan, Mace</t>
        </is>
      </c>
      <c r="F85" s="2" t="inlineStr">
        <is>
          <t>The Economic Value of Ecological Services Provided by Insects</t>
        </is>
      </c>
      <c r="G85" s="2" t="inlineStr">
        <is>
          <t>BioScience</t>
        </is>
      </c>
      <c r="H85" s="2" t="n"/>
      <c r="I85" s="2" t="inlineStr">
        <is>
          <t>Multiple services</t>
        </is>
      </c>
      <c r="J85" s="2" t="inlineStr">
        <is>
          <t>Avoided cost / dependence ratio, aggregate (AC/DR)</t>
        </is>
      </c>
      <c r="K85" s="2" t="inlineStr">
        <is>
          <t>USA</t>
        </is>
      </c>
      <c r="L85" s="2" t="inlineStr">
        <is>
          <t>National</t>
        </is>
      </c>
      <c r="M85" s="2" t="inlineStr">
        <is>
          <t>Supplement S2 only</t>
        </is>
      </c>
      <c r="N85" s="2" t="inlineStr">
        <is>
          <t>Primary valuation study linking an ecological indicator to a monetary value</t>
        </is>
      </c>
    </row>
    <row r="86" ht="15" customHeight="1">
      <c r="A86" s="2" t="n">
        <v>85</v>
      </c>
      <c r="B86" s="3" t="inlineStr">
        <is>
          <t>include</t>
        </is>
      </c>
      <c r="C86" s="2" t="inlineStr">
        <is>
          <t>Meyerhoff</t>
        </is>
      </c>
      <c r="D86" s="2" t="inlineStr">
        <is>
          <t>2012</t>
        </is>
      </c>
      <c r="E86" s="2" t="inlineStr">
        <is>
          <t>Meyerhoff, J\"urgen and Angeli, Daija and Hartje, Volkmar</t>
        </is>
      </c>
      <c r="F86" s="2" t="inlineStr">
        <is>
          <t>Valuing the benefits of implementing a national strategy on biological diversity---The case of Germany</t>
        </is>
      </c>
      <c r="G86" s="2" t="inlineStr">
        <is>
          <t>Environmental Science \&amp; Policy</t>
        </is>
      </c>
      <c r="H86" s="2" t="n"/>
      <c r="I86" s="2" t="inlineStr">
        <is>
          <t>Multiple services</t>
        </is>
      </c>
      <c r="J86" s="2" t="inlineStr">
        <is>
          <t>Stated preference, choice experiment (SPM)</t>
        </is>
      </c>
      <c r="K86" s="2" t="inlineStr">
        <is>
          <t>Germany</t>
        </is>
      </c>
      <c r="L86" s="2" t="inlineStr">
        <is>
          <t>National</t>
        </is>
      </c>
      <c r="M86" s="2" t="inlineStr">
        <is>
          <t>Supplement S2 only</t>
        </is>
      </c>
      <c r="N86" s="2" t="inlineStr">
        <is>
          <t>Primary valuation study linking an ecological indicator to a monetary value</t>
        </is>
      </c>
    </row>
    <row r="87" ht="15" customHeight="1">
      <c r="A87" s="2" t="n">
        <v>86</v>
      </c>
      <c r="B87" s="3" t="inlineStr">
        <is>
          <t>include</t>
        </is>
      </c>
      <c r="C87" s="2" t="inlineStr">
        <is>
          <t>Plaas</t>
        </is>
      </c>
      <c r="D87" s="2" t="inlineStr">
        <is>
          <t>2019</t>
        </is>
      </c>
      <c r="E87" s="2" t="inlineStr">
        <is>
          <t>Plaas, Elke and Meyer-Wolfarth, Friederike and Banse, Martin and Bengtsson, Jan and Bergmann, Holger and Faber, Jack and Potthoff, Martin and Runge, Tania and Schrader, Stefan and Taylor, Astrid</t>
        </is>
      </c>
      <c r="F87" s="2" t="inlineStr">
        <is>
          <t>Towards valuation of biodiversity in agricultural soils: A case for earthworms</t>
        </is>
      </c>
      <c r="G87" s="2" t="inlineStr">
        <is>
          <t>Ecological Economics</t>
        </is>
      </c>
      <c r="H87" s="2" t="n"/>
      <c r="I87" s="2" t="inlineStr">
        <is>
          <t>Multiple services</t>
        </is>
      </c>
      <c r="J87" s="2" t="inlineStr">
        <is>
          <t>Production function / replacement cost (PFM/RC)</t>
        </is>
      </c>
      <c r="K87" s="2" t="inlineStr">
        <is>
          <t>Germany</t>
        </is>
      </c>
      <c r="L87" s="2" t="inlineStr">
        <is>
          <t>Farm</t>
        </is>
      </c>
      <c r="M87" s="2" t="inlineStr">
        <is>
          <t>Supplement S2 only</t>
        </is>
      </c>
      <c r="N87" s="2" t="inlineStr">
        <is>
          <t>Primary valuation study linking an ecological indicator to a monetary value</t>
        </is>
      </c>
    </row>
    <row r="88" ht="15" customHeight="1">
      <c r="A88" s="6" t="n">
        <v>87</v>
      </c>
      <c r="B88" s="7" t="inlineStr">
        <is>
          <t>include</t>
        </is>
      </c>
      <c r="C88" s="6" t="inlineStr">
        <is>
          <t>Poudel</t>
        </is>
      </c>
      <c r="D88" s="6" t="inlineStr">
        <is>
          <t>2009</t>
        </is>
      </c>
      <c r="E88" s="6" t="inlineStr">
        <is>
          <t>Poudel, Diwakar and Johnsen, Fred H.</t>
        </is>
      </c>
      <c r="F88" s="6" t="inlineStr">
        <is>
          <t>Valuation of crop genetic resources in Kaski, Nepal: farmers' willingness to pay for rice landraces conservation</t>
        </is>
      </c>
      <c r="G88" s="6" t="inlineStr">
        <is>
          <t>Journal of Environmental Management</t>
        </is>
      </c>
      <c r="H88" s="6" t="n"/>
      <c r="I88" s="6" t="inlineStr">
        <is>
          <t>Multiple services</t>
        </is>
      </c>
      <c r="J88" s="6" t="inlineStr">
        <is>
          <t>Stated preference, contingent valuation (SPM)</t>
        </is>
      </c>
      <c r="K88" s="6" t="inlineStr">
        <is>
          <t>Nepal</t>
        </is>
      </c>
      <c r="L88" s="6" t="inlineStr">
        <is>
          <t>Household; district</t>
        </is>
      </c>
      <c r="M88" s="6" t="inlineStr">
        <is>
          <t>Supplement S2 only</t>
        </is>
      </c>
      <c r="N88" s="6" t="inlineStr">
        <is>
          <t>Peer-reviewed contingent valuation linking crop genetic diversity (an ecological indicator) to farm-household willingness to pay; farm-relevant; biodiversity-linked. Kept in the multiple-services group on the same basis as Meyerhoff et al. (2012) and Losey and Vaughan (2006).</t>
        </is>
      </c>
    </row>
    <row r="89" ht="15" customHeight="1">
      <c r="A89" s="2" t="n">
        <v>88</v>
      </c>
      <c r="B89" s="3" t="inlineStr">
        <is>
          <t>include</t>
        </is>
      </c>
      <c r="C89" s="2" t="inlineStr">
        <is>
          <t>Sandhu</t>
        </is>
      </c>
      <c r="D89" s="2" t="inlineStr">
        <is>
          <t>2008</t>
        </is>
      </c>
      <c r="E89" s="2" t="inlineStr">
        <is>
          <t>Sandhu, Harpinder S. and Wratten, Stephen D. and Cullen, Ross and Case, Brad</t>
        </is>
      </c>
      <c r="F89" s="2" t="inlineStr">
        <is>
          <t>The future of farming: The value of ecosystem services in conventional and organic arable land. An experimental approach</t>
        </is>
      </c>
      <c r="G89" s="2" t="inlineStr">
        <is>
          <t>Ecological Economics</t>
        </is>
      </c>
      <c r="H89" s="2" t="n"/>
      <c r="I89" s="2" t="inlineStr">
        <is>
          <t>Multiple services</t>
        </is>
      </c>
      <c r="J89" s="2" t="inlineStr">
        <is>
          <t>Field measurement, avoided/replacement cost (AC/RC)</t>
        </is>
      </c>
      <c r="K89" s="2" t="inlineStr">
        <is>
          <t>New Zealand</t>
        </is>
      </c>
      <c r="L89" s="2" t="inlineStr">
        <is>
          <t>Field; farm</t>
        </is>
      </c>
      <c r="M89" s="2" t="inlineStr">
        <is>
          <t>Main text (Section 3) and Appendix A.6</t>
        </is>
      </c>
      <c r="N89" s="2" t="inlineStr">
        <is>
          <t>Primary valuation study linking an ecological indicator to a monetary value</t>
        </is>
      </c>
    </row>
    <row r="90" ht="15" customHeight="1">
      <c r="A90" s="2" t="n">
        <v>89</v>
      </c>
      <c r="B90" s="3" t="inlineStr">
        <is>
          <t>include</t>
        </is>
      </c>
      <c r="C90" s="2" t="inlineStr">
        <is>
          <t>Sandhu</t>
        </is>
      </c>
      <c r="D90" s="2" t="inlineStr">
        <is>
          <t>2010</t>
        </is>
      </c>
      <c r="E90" s="2" t="inlineStr">
        <is>
          <t>Sandhu, Harpinder S. and Wratten, Stephen D. and Cullen, Ross</t>
        </is>
      </c>
      <c r="F90" s="2" t="inlineStr">
        <is>
          <t>The role of supporting ecosystem services in conventional and organic arable farmland</t>
        </is>
      </c>
      <c r="G90" s="2" t="inlineStr">
        <is>
          <t>Ecological Complexity</t>
        </is>
      </c>
      <c r="H90" s="2" t="n"/>
      <c r="I90" s="2" t="inlineStr">
        <is>
          <t>Multiple services</t>
        </is>
      </c>
      <c r="J90" s="2" t="inlineStr">
        <is>
          <t>Field measurement, avoided/replacement cost (AC/RC)</t>
        </is>
      </c>
      <c r="K90" s="2" t="inlineStr">
        <is>
          <t>New Zealand</t>
        </is>
      </c>
      <c r="L90" s="2" t="inlineStr">
        <is>
          <t>Field</t>
        </is>
      </c>
      <c r="M90" s="2" t="inlineStr">
        <is>
          <t>Main text (Section 3) and Appendix A.6</t>
        </is>
      </c>
      <c r="N90" s="2" t="inlineStr">
        <is>
          <t>Primary valuation study linking an ecological indicator to a monetary value</t>
        </is>
      </c>
    </row>
    <row r="91" hidden="1" ht="15" customHeight="1">
      <c r="A91" s="4" t="n">
        <v>90</v>
      </c>
      <c r="B91" s="5" t="inlineStr">
        <is>
          <t>exclude</t>
        </is>
      </c>
      <c r="C91" s="4" t="inlineStr">
        <is>
          <t>U. Pascual</t>
        </is>
      </c>
      <c r="D91" s="4" t="inlineStr">
        <is>
          <t>2007</t>
        </is>
      </c>
      <c r="E91" s="4" t="inlineStr">
        <is>
          <t>U. Pascual and C. Perrings</t>
        </is>
      </c>
      <c r="F91" s="4" t="inlineStr">
        <is>
          <t>Developing incentives and economic mechanisms for in situ biodiversity conservation in agricultural landscapes</t>
        </is>
      </c>
      <c r="G91" s="4" t="n"/>
      <c r="H91" s="4" t="n"/>
      <c r="I91" s="4" t="inlineStr">
        <is>
          <t>Multiple services</t>
        </is>
      </c>
      <c r="J91" s="4" t="n"/>
      <c r="K91" s="4" t="n"/>
      <c r="L91" s="4" t="n"/>
      <c r="M91" s="4" t="inlineStr"/>
      <c r="N91" s="4" t="inlineStr">
        <is>
          <t>Policy / conceptual paper</t>
        </is>
      </c>
    </row>
    <row r="92" ht="15" customHeight="1">
      <c r="A92" s="2" t="n">
        <v>91</v>
      </c>
      <c r="B92" s="3" t="inlineStr">
        <is>
          <t>include</t>
        </is>
      </c>
      <c r="C92" s="2" t="inlineStr">
        <is>
          <t>Wüstemann</t>
        </is>
      </c>
      <c r="D92" s="2" t="inlineStr">
        <is>
          <t>2014</t>
        </is>
      </c>
      <c r="E92" s="2" t="inlineStr">
        <is>
          <t>W\"ustemann, Henry and Meyerhoff, J\"urgen and R\"uhs, Michael and Sch\"afer, Achim and Hartje, Volkmar</t>
        </is>
      </c>
      <c r="F92" s="2" t="inlineStr">
        <is>
          <t>Financial costs and benefits of a program of measures to implement a National Strategy on Biological Diversity in Germany</t>
        </is>
      </c>
      <c r="G92" s="2" t="inlineStr">
        <is>
          <t>Land Use Policy</t>
        </is>
      </c>
      <c r="H92" s="2" t="n"/>
      <c r="I92" s="2" t="inlineStr">
        <is>
          <t>Multiple services</t>
        </is>
      </c>
      <c r="J92" s="2" t="inlineStr">
        <is>
          <t>Stated preference with damage-cost modules (SPM/DCA/RC)</t>
        </is>
      </c>
      <c r="K92" s="2" t="inlineStr">
        <is>
          <t>Germany</t>
        </is>
      </c>
      <c r="L92" s="2" t="inlineStr">
        <is>
          <t>National</t>
        </is>
      </c>
      <c r="M92" s="2" t="inlineStr">
        <is>
          <t>Supplement S2 only</t>
        </is>
      </c>
      <c r="N92" s="2" t="inlineStr">
        <is>
          <t>Primary valuation study linking an ecological indicator to a monetary value</t>
        </is>
      </c>
    </row>
    <row r="93" hidden="1" ht="15" customHeight="1">
      <c r="A93" s="2" t="n">
        <v>92</v>
      </c>
      <c r="B93" s="3" t="inlineStr">
        <is>
          <t>exclude</t>
        </is>
      </c>
      <c r="C93" s="2" t="inlineStr">
        <is>
          <t>Abson</t>
        </is>
      </c>
      <c r="D93" s="2" t="inlineStr">
        <is>
          <t>2014</t>
        </is>
      </c>
      <c r="E93" s="2" t="inlineStr">
        <is>
          <t>Abson, David J. and Termansen, Mette and Pascual, Unai and Aslam, Uzma and Fezzi, Carlo and Bateman, Ian</t>
        </is>
      </c>
      <c r="F93" s="2" t="inlineStr">
        <is>
          <t>Valuing Climate Change Effects Upon UK Agricultural GHG Emissions: Spatial Analysis of a Regulating Ecosystem Service</t>
        </is>
      </c>
      <c r="G93" s="2" t="inlineStr">
        <is>
          <t>Environmental and Resource Economics</t>
        </is>
      </c>
      <c r="H93" s="2" t="inlineStr">
        <is>
          <t>10.1007/s10640-013-9661-z</t>
        </is>
      </c>
      <c r="I93" s="2" t="inlineStr">
        <is>
          <t>Climate / air regulation</t>
        </is>
      </c>
      <c r="J93" s="2" t="n"/>
      <c r="K93" s="2" t="n"/>
      <c r="L93" s="2" t="n"/>
      <c r="M93" s="2" t="inlineStr"/>
      <c r="N93" s="2" t="inlineStr">
        <is>
          <t>Outside the review scope (climate regulation / carbon sequestration); retrieved by the broad soil search</t>
        </is>
      </c>
    </row>
    <row r="94" hidden="1" ht="15" customHeight="1">
      <c r="A94" s="2" t="n">
        <v>93</v>
      </c>
      <c r="B94" s="3" t="inlineStr">
        <is>
          <t>exclude</t>
        </is>
      </c>
      <c r="C94" s="2" t="inlineStr">
        <is>
          <t>Adams</t>
        </is>
      </c>
      <c r="D94" s="2" t="inlineStr">
        <is>
          <t>1989</t>
        </is>
      </c>
      <c r="E94" s="2" t="inlineStr">
        <is>
          <t>Adams, Richard M.</t>
        </is>
      </c>
      <c r="F94" s="2" t="inlineStr">
        <is>
          <t>Global Climate Change and Agriculture: An Economic Perspective</t>
        </is>
      </c>
      <c r="G94" s="2" t="inlineStr">
        <is>
          <t>American Journal of Agricultural Economics</t>
        </is>
      </c>
      <c r="H94" s="2" t="inlineStr">
        <is>
          <t>10.2307/1243120</t>
        </is>
      </c>
      <c r="I94" s="2" t="inlineStr">
        <is>
          <t>Climate / air regulation</t>
        </is>
      </c>
      <c r="J94" s="2" t="n"/>
      <c r="K94" s="2" t="n"/>
      <c r="L94" s="2" t="n"/>
      <c r="M94" s="2" t="inlineStr"/>
      <c r="N94" s="2" t="inlineStr">
        <is>
          <t>Outside the review scope (climate regulation / carbon sequestration); retrieved by the broad soil search</t>
        </is>
      </c>
    </row>
    <row r="95" hidden="1" ht="15" customHeight="1">
      <c r="A95" s="2" t="n">
        <v>94</v>
      </c>
      <c r="B95" s="3" t="inlineStr">
        <is>
          <t>exclude</t>
        </is>
      </c>
      <c r="C95" s="2" t="inlineStr">
        <is>
          <t>Fezzi</t>
        </is>
      </c>
      <c r="D95" s="2" t="inlineStr">
        <is>
          <t>2014</t>
        </is>
      </c>
      <c r="E95" s="2" t="inlineStr">
        <is>
          <t>Fezzi, Carlo and Bateman, Ian and Askew, Tom and Munday, Paul and Pascual, Unai and Sen, Antara and Harwood, Amii</t>
        </is>
      </c>
      <c r="F95" s="2" t="inlineStr">
        <is>
          <t>Valuing Provisioning Ecosystem Services in Agriculture: The Impact of Climate Change on Food Production in the United Kingdom</t>
        </is>
      </c>
      <c r="G95" s="2" t="inlineStr">
        <is>
          <t>Environmental and Resource Economics</t>
        </is>
      </c>
      <c r="H95" s="2" t="inlineStr">
        <is>
          <t>10.1007/s10640-013-9663-x</t>
        </is>
      </c>
      <c r="I95" s="2" t="inlineStr">
        <is>
          <t>Climate / air regulation</t>
        </is>
      </c>
      <c r="J95" s="2" t="n"/>
      <c r="K95" s="2" t="n"/>
      <c r="L95" s="2" t="n"/>
      <c r="M95" s="2" t="inlineStr"/>
      <c r="N95" s="2" t="inlineStr">
        <is>
          <t>Outside the review scope (climate regulation / carbon sequestration); retrieved by the broad soil search</t>
        </is>
      </c>
    </row>
    <row r="96" hidden="1" ht="15" customHeight="1">
      <c r="A96" s="2" t="n">
        <v>95</v>
      </c>
      <c r="B96" s="3" t="inlineStr">
        <is>
          <t>exclude</t>
        </is>
      </c>
      <c r="C96" s="2" t="inlineStr">
        <is>
          <t>Mendelsohn</t>
        </is>
      </c>
      <c r="D96" s="2" t="inlineStr">
        <is>
          <t>1994</t>
        </is>
      </c>
      <c r="E96" s="2" t="inlineStr">
        <is>
          <t>Mendelsohn, Robert and Nordhaus, William and Shaw, Daigee</t>
        </is>
      </c>
      <c r="F96" s="2" t="inlineStr">
        <is>
          <t>The Impact of Global Warming on Agriculture: A Ricardian Analysis</t>
        </is>
      </c>
      <c r="G96" s="2" t="n"/>
      <c r="H96" s="2" t="n"/>
      <c r="I96" s="2" t="inlineStr">
        <is>
          <t>Climate / air regulation</t>
        </is>
      </c>
      <c r="J96" s="2" t="n"/>
      <c r="K96" s="2" t="n"/>
      <c r="L96" s="2" t="n"/>
      <c r="M96" s="2" t="inlineStr"/>
      <c r="N96" s="2" t="inlineStr">
        <is>
          <t>Outside the review scope (climate regulation / carbon sequestration); retrieved by the broad soil search</t>
        </is>
      </c>
    </row>
    <row r="97" hidden="1" ht="15" customHeight="1">
      <c r="A97" s="4" t="n">
        <v>96</v>
      </c>
      <c r="B97" s="5" t="inlineStr">
        <is>
          <t>exclude</t>
        </is>
      </c>
      <c r="C97" s="4" t="inlineStr">
        <is>
          <t>Breeze</t>
        </is>
      </c>
      <c r="D97" s="4" t="inlineStr">
        <is>
          <t>2016</t>
        </is>
      </c>
      <c r="E97" s="4" t="inlineStr">
        <is>
          <t>Breeze, Tom D. and Gallai, Nicola and Garibaldi, Lucas A. and Li, Xui S.</t>
        </is>
      </c>
      <c r="F97" s="4" t="inlineStr">
        <is>
          <t>Economic Measures of Pollination Services: Shortcomings and Future Directions</t>
        </is>
      </c>
      <c r="G97" s="4" t="inlineStr">
        <is>
          <t>Trends in Ecology \&amp; Evolution</t>
        </is>
      </c>
      <c r="H97" s="4" t="n"/>
      <c r="I97" s="4" t="inlineStr">
        <is>
          <t>Pollination</t>
        </is>
      </c>
      <c r="J97" s="4" t="n"/>
      <c r="K97" s="4" t="n"/>
      <c r="L97" s="4" t="n"/>
      <c r="M97" s="4" t="inlineStr"/>
      <c r="N97" s="4" t="inlineStr">
        <is>
          <t>Methodological critique</t>
        </is>
      </c>
    </row>
    <row r="98" hidden="1" ht="15" customHeight="1">
      <c r="A98" s="4" t="n">
        <v>97</v>
      </c>
      <c r="B98" s="5" t="inlineStr">
        <is>
          <t>exclude</t>
        </is>
      </c>
      <c r="C98" s="4" t="inlineStr">
        <is>
          <t>Hein</t>
        </is>
      </c>
      <c r="D98" s="4" t="inlineStr">
        <is>
          <t>2009</t>
        </is>
      </c>
      <c r="E98" s="4" t="inlineStr">
        <is>
          <t>Hein, Lars</t>
        </is>
      </c>
      <c r="F98" s="4" t="inlineStr">
        <is>
          <t>The Economic Value of the Pollination Service, a Review Across Scales</t>
        </is>
      </c>
      <c r="G98" s="4" t="inlineStr">
        <is>
          <t>The Open Ecology Journal</t>
        </is>
      </c>
      <c r="H98" s="4" t="inlineStr">
        <is>
          <t>10.2174/1874213000902010074</t>
        </is>
      </c>
      <c r="I98" s="4" t="inlineStr">
        <is>
          <t>Pollination</t>
        </is>
      </c>
      <c r="J98" s="4" t="n"/>
      <c r="K98" s="4" t="n"/>
      <c r="L98" s="4" t="n"/>
      <c r="M98" s="4" t="inlineStr"/>
      <c r="N98" s="4" t="inlineStr">
        <is>
          <t>Review across scales</t>
        </is>
      </c>
    </row>
    <row r="99" hidden="1" ht="15" customHeight="1">
      <c r="A99" s="4" t="n">
        <v>98</v>
      </c>
      <c r="B99" s="5" t="inlineStr">
        <is>
          <t>exclude</t>
        </is>
      </c>
      <c r="C99" s="4" t="inlineStr">
        <is>
          <t>Klein</t>
        </is>
      </c>
      <c r="D99" s="4" t="inlineStr">
        <is>
          <t>2007</t>
        </is>
      </c>
      <c r="E99" s="4" t="inlineStr">
        <is>
          <t>Klein, Alexandra-Maria and Vaissi\`ere, Bernard E. and Cane, James H. and Steffan-Dewenter, Ingolf and Cunningham, Saul A. and Kremen, Claire and Tscharntke, Teja</t>
        </is>
      </c>
      <c r="F99" s="4" t="inlineStr">
        <is>
          <t>Importance of pollinators in changing landscapes for world crops</t>
        </is>
      </c>
      <c r="G99" s="4" t="inlineStr">
        <is>
          <t>Proceedings. Biological sciences</t>
        </is>
      </c>
      <c r="H99" s="4" t="inlineStr">
        <is>
          <t>10.1098/rspb.2006.3721</t>
        </is>
      </c>
      <c r="I99" s="4" t="inlineStr">
        <is>
          <t>Pollination</t>
        </is>
      </c>
      <c r="J99" s="4" t="n"/>
      <c r="K99" s="4" t="n"/>
      <c r="L99" s="4" t="n"/>
      <c r="M99" s="4" t="inlineStr"/>
      <c r="N99" s="4" t="inlineStr">
        <is>
          <t>Global review; supplies dependence coefficients used as evidence</t>
        </is>
      </c>
    </row>
    <row r="100" hidden="1" ht="15" customHeight="1">
      <c r="A100" s="4" t="n">
        <v>99</v>
      </c>
      <c r="B100" s="5" t="inlineStr">
        <is>
          <t>exclude</t>
        </is>
      </c>
      <c r="C100" s="4" t="inlineStr">
        <is>
          <t>Porto</t>
        </is>
      </c>
      <c r="D100" s="4" t="inlineStr">
        <is>
          <t>2020</t>
        </is>
      </c>
      <c r="E100" s="4" t="inlineStr">
        <is>
          <t>Porto, Rafaella Guimar\~aes and de Almeida, Rita Fernandes and Cruz-Neto, Oswaldo and Tabarelli, Marcelo and Viana, Blandina Felipe and Peres, Carlos A. and Lopes, Ariadna Valentina</t>
        </is>
      </c>
      <c r="F100" s="4" t="inlineStr">
        <is>
          <t>Pollination ecosystem services: A comprehensive review of economic values, research funding and policy actions</t>
        </is>
      </c>
      <c r="G100" s="4" t="inlineStr">
        <is>
          <t>Food Security</t>
        </is>
      </c>
      <c r="H100" s="4" t="inlineStr">
        <is>
          <t>10.1007/s12571-020-01043-w</t>
        </is>
      </c>
      <c r="I100" s="4" t="inlineStr">
        <is>
          <t>Pollination</t>
        </is>
      </c>
      <c r="J100" s="4" t="n"/>
      <c r="K100" s="4" t="n"/>
      <c r="L100" s="4" t="n"/>
      <c r="M100" s="4" t="inlineStr"/>
      <c r="N100" s="4" t="inlineStr">
        <is>
          <t>Review</t>
        </is>
      </c>
    </row>
    <row r="101" hidden="1" ht="15" customHeight="1">
      <c r="A101" s="4" t="n">
        <v>100</v>
      </c>
      <c r="B101" s="5" t="inlineStr">
        <is>
          <t>exclude</t>
        </is>
      </c>
      <c r="C101" s="4" t="inlineStr">
        <is>
          <t>Potts</t>
        </is>
      </c>
      <c r="D101" s="4" t="inlineStr">
        <is>
          <t>2010</t>
        </is>
      </c>
      <c r="E101" s="4" t="inlineStr">
        <is>
          <t>Potts, Simon G. and Biesmeijer, Jacobus C. and Kremen, Claire and Neumann, Peter and Schweiger, Oliver and Kunin, William E.</t>
        </is>
      </c>
      <c r="F101" s="4" t="inlineStr">
        <is>
          <t>Global pollinator declines: trends, impacts and drivers</t>
        </is>
      </c>
      <c r="G101" s="4" t="inlineStr">
        <is>
          <t>Trends in Ecology \&amp; Evolution</t>
        </is>
      </c>
      <c r="H101" s="4" t="n"/>
      <c r="I101" s="4" t="inlineStr">
        <is>
          <t>Pollination</t>
        </is>
      </c>
      <c r="J101" s="4" t="n"/>
      <c r="K101" s="4" t="n"/>
      <c r="L101" s="4" t="n"/>
      <c r="M101" s="4" t="inlineStr"/>
      <c r="N101" s="4" t="inlineStr">
        <is>
          <t>Ecological review, no valuation</t>
        </is>
      </c>
    </row>
    <row r="102" hidden="1" ht="15" customHeight="1">
      <c r="A102" s="4" t="n">
        <v>101</v>
      </c>
      <c r="B102" s="5" t="inlineStr">
        <is>
          <t>exclude</t>
        </is>
      </c>
      <c r="C102" s="4" t="inlineStr">
        <is>
          <t>Brown</t>
        </is>
      </c>
      <c r="D102" s="4" t="inlineStr">
        <is>
          <t>1997</t>
        </is>
      </c>
      <c r="E102" s="4" t="inlineStr">
        <is>
          <t>Brown, Grayson C.</t>
        </is>
      </c>
      <c r="F102" s="4" t="inlineStr">
        <is>
          <t>Simple Models of Natural Enemy Action and Economic Thresholds</t>
        </is>
      </c>
      <c r="G102" s="4" t="inlineStr">
        <is>
          <t>American Entomologist</t>
        </is>
      </c>
      <c r="H102" s="4" t="inlineStr">
        <is>
          <t>10.1093/ae/43.2.117</t>
        </is>
      </c>
      <c r="I102" s="4" t="inlineStr">
        <is>
          <t>Natural pest control</t>
        </is>
      </c>
      <c r="J102" s="4" t="n"/>
      <c r="K102" s="4" t="n"/>
      <c r="L102" s="4" t="n"/>
      <c r="M102" s="4" t="inlineStr"/>
      <c r="N102" s="4" t="inlineStr">
        <is>
          <t>Threshold models, conceptual</t>
        </is>
      </c>
    </row>
    <row r="103" hidden="1" ht="15" customHeight="1">
      <c r="A103" s="4" t="n">
        <v>102</v>
      </c>
      <c r="B103" s="5" t="inlineStr">
        <is>
          <t>exclude</t>
        </is>
      </c>
      <c r="C103" s="4" t="inlineStr">
        <is>
          <t>Carlson</t>
        </is>
      </c>
      <c r="D103" s="4" t="inlineStr">
        <is>
          <t>1988</t>
        </is>
      </c>
      <c r="E103" s="4" t="inlineStr">
        <is>
          <t>Carlson, Gerald A.</t>
        </is>
      </c>
      <c r="F103" s="4" t="inlineStr">
        <is>
          <t>Economics of biological control of pests</t>
        </is>
      </c>
      <c r="G103" s="4" t="n"/>
      <c r="H103" s="4" t="n"/>
      <c r="I103" s="4" t="inlineStr">
        <is>
          <t>Natural pest control</t>
        </is>
      </c>
      <c r="J103" s="4" t="n"/>
      <c r="K103" s="4" t="n"/>
      <c r="L103" s="4" t="n"/>
      <c r="M103" s="4" t="inlineStr"/>
      <c r="N103" s="4" t="inlineStr">
        <is>
          <t>Position paper</t>
        </is>
      </c>
    </row>
    <row r="104" hidden="1" ht="15" customHeight="1">
      <c r="A104" s="4" t="n">
        <v>103</v>
      </c>
      <c r="B104" s="5" t="inlineStr">
        <is>
          <t>exclude</t>
        </is>
      </c>
      <c r="C104" s="4" t="inlineStr">
        <is>
          <t>Cullen</t>
        </is>
      </c>
      <c r="D104" s="4" t="inlineStr">
        <is>
          <t>2008</t>
        </is>
      </c>
      <c r="E104" s="4" t="inlineStr">
        <is>
          <t>Cullen, Ross and Warner, Keith D. and Jonsson, Mattias and Wratten, Steve D.</t>
        </is>
      </c>
      <c r="F104" s="4" t="inlineStr">
        <is>
          <t>Economics and adoption of conservation biological control</t>
        </is>
      </c>
      <c r="G104" s="4" t="inlineStr">
        <is>
          <t>Biological Control</t>
        </is>
      </c>
      <c r="H104" s="4" t="n"/>
      <c r="I104" s="4" t="inlineStr">
        <is>
          <t>Natural pest control</t>
        </is>
      </c>
      <c r="J104" s="4" t="n"/>
      <c r="K104" s="4" t="n"/>
      <c r="L104" s="4" t="n"/>
      <c r="M104" s="4" t="inlineStr"/>
      <c r="N104" s="4" t="inlineStr">
        <is>
          <t>Review of adoption economics</t>
        </is>
      </c>
    </row>
    <row r="105" hidden="1" ht="15" customHeight="1">
      <c r="A105" s="4" t="n">
        <v>104</v>
      </c>
      <c r="B105" s="5" t="inlineStr">
        <is>
          <t>exclude</t>
        </is>
      </c>
      <c r="C105" s="4" t="inlineStr">
        <is>
          <t>Naranjo</t>
        </is>
      </c>
      <c r="D105" s="4" t="inlineStr">
        <is>
          <t>2015</t>
        </is>
      </c>
      <c r="E105" s="4" t="inlineStr">
        <is>
          <t>Naranjo, Steven E. and Ellsworth, Peter C. and Frisvold, George B.</t>
        </is>
      </c>
      <c r="F105" s="4" t="inlineStr">
        <is>
          <t>Economic value of biological control in integrated pest management of managed plant systems</t>
        </is>
      </c>
      <c r="G105" s="4" t="inlineStr">
        <is>
          <t>Annual review of entomology</t>
        </is>
      </c>
      <c r="H105" s="4" t="inlineStr">
        <is>
          <t>10.1146/annurev-ento-010814-021005</t>
        </is>
      </c>
      <c r="I105" s="4" t="inlineStr">
        <is>
          <t>Natural pest control</t>
        </is>
      </c>
      <c r="J105" s="4" t="n"/>
      <c r="K105" s="4" t="n"/>
      <c r="L105" s="4" t="n"/>
      <c r="M105" s="4" t="inlineStr"/>
      <c r="N105" s="4" t="inlineStr">
        <is>
          <t>Review of biocontrol values; used as evidence in NPC section</t>
        </is>
      </c>
    </row>
    <row r="106" hidden="1" ht="15" customHeight="1">
      <c r="A106" s="4" t="n">
        <v>105</v>
      </c>
      <c r="B106" s="5" t="inlineStr">
        <is>
          <t>exclude</t>
        </is>
      </c>
      <c r="C106" s="4" t="inlineStr">
        <is>
          <t>Onstad</t>
        </is>
      </c>
      <c r="D106" s="4" t="inlineStr">
        <is>
          <t>2009</t>
        </is>
      </c>
      <c r="E106" s="4" t="inlineStr">
        <is>
          <t>Onstad, David W. and Knolhoff, Lisa M.</t>
        </is>
      </c>
      <c r="F106" s="4" t="inlineStr">
        <is>
          <t>Finding the economics in economic entomology</t>
        </is>
      </c>
      <c r="G106" s="4" t="inlineStr">
        <is>
          <t>Journal of Economic Entomology</t>
        </is>
      </c>
      <c r="H106" s="4" t="inlineStr">
        <is>
          <t>10.1603/029.102.0101</t>
        </is>
      </c>
      <c r="I106" s="4" t="inlineStr">
        <is>
          <t>Natural pest control</t>
        </is>
      </c>
      <c r="J106" s="4" t="n"/>
      <c r="K106" s="4" t="n"/>
      <c r="L106" s="4" t="n"/>
      <c r="M106" s="4" t="inlineStr"/>
      <c r="N106" s="4" t="inlineStr">
        <is>
          <t>Position paper</t>
        </is>
      </c>
    </row>
    <row r="107" hidden="1" ht="15" customHeight="1">
      <c r="A107" s="4" t="n">
        <v>106</v>
      </c>
      <c r="B107" s="5" t="inlineStr">
        <is>
          <t>exclude</t>
        </is>
      </c>
      <c r="C107" s="4" t="inlineStr">
        <is>
          <t>Adhikari</t>
        </is>
      </c>
      <c r="D107" s="4" t="inlineStr">
        <is>
          <t>2016</t>
        </is>
      </c>
      <c r="E107" s="4" t="inlineStr">
        <is>
          <t>Adhikari, Kabindra and Hartemink, Alfred E.</t>
        </is>
      </c>
      <c r="F107" s="4" t="inlineStr">
        <is>
          <t>Linking soils to ecosystem services --- A global review</t>
        </is>
      </c>
      <c r="G107" s="4" t="inlineStr">
        <is>
          <t>Geoderma</t>
        </is>
      </c>
      <c r="H107" s="4" t="n"/>
      <c r="I107" s="4" t="inlineStr">
        <is>
          <t>Soil-related water purification</t>
        </is>
      </c>
      <c r="J107" s="4" t="n"/>
      <c r="K107" s="4" t="n"/>
      <c r="L107" s="4" t="n"/>
      <c r="M107" s="4" t="inlineStr"/>
      <c r="N107" s="4" t="inlineStr">
        <is>
          <t>Global review</t>
        </is>
      </c>
    </row>
    <row r="108" hidden="1" ht="15" customHeight="1">
      <c r="A108" s="4" t="n">
        <v>107</v>
      </c>
      <c r="B108" s="5" t="inlineStr">
        <is>
          <t>exclude</t>
        </is>
      </c>
      <c r="C108" s="4" t="inlineStr">
        <is>
          <t>Brady</t>
        </is>
      </c>
      <c r="D108" s="4" t="inlineStr">
        <is>
          <t>2019</t>
        </is>
      </c>
      <c r="E108" s="4" t="inlineStr">
        <is>
          <t>Brady, Mark V. and Hristov, Jordan and Wilhelmsson, Fredrik and Hedlund, Katarina</t>
        </is>
      </c>
      <c r="F108" s="4" t="inlineStr">
        <is>
          <t>Roadmap for Valuing Soil Ecosystem Services to Inform Multi-Level Decision-Making in Agriculture</t>
        </is>
      </c>
      <c r="G108" s="4" t="inlineStr">
        <is>
          <t>Sustainability</t>
        </is>
      </c>
      <c r="H108" s="4" t="inlineStr">
        <is>
          <t>10.3390/su11195285</t>
        </is>
      </c>
      <c r="I108" s="4" t="inlineStr">
        <is>
          <t>Soil-related water purification</t>
        </is>
      </c>
      <c r="J108" s="4" t="n"/>
      <c r="K108" s="4" t="n"/>
      <c r="L108" s="4" t="n"/>
      <c r="M108" s="4" t="inlineStr"/>
      <c r="N108" s="4" t="inlineStr">
        <is>
          <t>Roadmap paper</t>
        </is>
      </c>
    </row>
    <row r="109" hidden="1" ht="15" customHeight="1">
      <c r="A109" s="4" t="n">
        <v>108</v>
      </c>
      <c r="B109" s="5" t="inlineStr">
        <is>
          <t>exclude</t>
        </is>
      </c>
      <c r="C109" s="4" t="inlineStr">
        <is>
          <t>Dominati</t>
        </is>
      </c>
      <c r="D109" s="4" t="inlineStr">
        <is>
          <t>2010</t>
        </is>
      </c>
      <c r="E109" s="4" t="inlineStr">
        <is>
          <t>Dominati, E. and Patterson, Murray and Mackay, Alec</t>
        </is>
      </c>
      <c r="F109" s="4" t="inlineStr">
        <is>
          <t>A framework for classifying and quantifying the natural capital and ecosystem services of soils</t>
        </is>
      </c>
      <c r="G109" s="4" t="inlineStr">
        <is>
          <t>Ecological Economics</t>
        </is>
      </c>
      <c r="H109" s="4" t="n"/>
      <c r="I109" s="4" t="inlineStr">
        <is>
          <t>Soil-related water purification</t>
        </is>
      </c>
      <c r="J109" s="4" t="n"/>
      <c r="K109" s="4" t="n"/>
      <c r="L109" s="4" t="n"/>
      <c r="M109" s="4" t="inlineStr"/>
      <c r="N109" s="4" t="inlineStr">
        <is>
          <t>Review, framework or off-topic (title screen)</t>
        </is>
      </c>
    </row>
    <row r="110" hidden="1" ht="15" customHeight="1">
      <c r="A110" s="4" t="n">
        <v>109</v>
      </c>
      <c r="B110" s="5" t="inlineStr">
        <is>
          <t>exclude</t>
        </is>
      </c>
      <c r="C110" s="4" t="inlineStr">
        <is>
          <t>Jónsson</t>
        </is>
      </c>
      <c r="D110" s="4" t="inlineStr">
        <is>
          <t>2016</t>
        </is>
      </c>
      <c r="E110" s="4" t="inlineStr">
        <is>
          <t>J\'onsson, J\'on \"Orvar G. and Dav\'i\dhsd\'ottir, Brynhildur</t>
        </is>
      </c>
      <c r="F110" s="4" t="inlineStr">
        <is>
          <t>Classification and valuation of soil ecosystem services</t>
        </is>
      </c>
      <c r="G110" s="4" t="inlineStr">
        <is>
          <t>Agricultural Systems</t>
        </is>
      </c>
      <c r="H110" s="4" t="n"/>
      <c r="I110" s="4" t="inlineStr">
        <is>
          <t>Soil-related water purification</t>
        </is>
      </c>
      <c r="J110" s="4" t="n"/>
      <c r="K110" s="4" t="n"/>
      <c r="L110" s="4" t="n"/>
      <c r="M110" s="4" t="inlineStr"/>
      <c r="N110" s="4" t="inlineStr">
        <is>
          <t>Classification review</t>
        </is>
      </c>
    </row>
    <row r="111" hidden="1" ht="15" customHeight="1">
      <c r="A111" s="4" t="n">
        <v>110</v>
      </c>
      <c r="B111" s="5" t="inlineStr">
        <is>
          <t>exclude</t>
        </is>
      </c>
      <c r="C111" s="4" t="inlineStr">
        <is>
          <t>Robinson</t>
        </is>
      </c>
      <c r="D111" s="4" t="inlineStr">
        <is>
          <t>2013</t>
        </is>
      </c>
      <c r="E111" s="4" t="inlineStr">
        <is>
          <t>Robinson, D. A. and Hockley, N. and Cooper, D. M. and Emmett, B. A. and Keith, A. M. and Lebron, I. and Reynolds, B. and Tipping, E. and Tye, A. M. and Watts, C. W. and Whalley, W. R. and Black, H.I.J. and Warren, G. P. and Robinson, J. S.</t>
        </is>
      </c>
      <c r="F111" s="4" t="inlineStr">
        <is>
          <t>Natural capital and ecosystem services, developing an appropriate soils framework as a basis for valuation</t>
        </is>
      </c>
      <c r="G111" s="4" t="inlineStr">
        <is>
          <t>Soil Biology and Biochemistry</t>
        </is>
      </c>
      <c r="H111" s="4" t="n"/>
      <c r="I111" s="4" t="inlineStr">
        <is>
          <t>Soil-related water purification</t>
        </is>
      </c>
      <c r="J111" s="4" t="n"/>
      <c r="K111" s="4" t="n"/>
      <c r="L111" s="4" t="n"/>
      <c r="M111" s="4" t="inlineStr"/>
      <c r="N111" s="4" t="inlineStr">
        <is>
          <t>Framework</t>
        </is>
      </c>
    </row>
    <row r="112" hidden="1" ht="15" customHeight="1">
      <c r="A112" s="4" t="n">
        <v>111</v>
      </c>
      <c r="B112" s="5" t="inlineStr">
        <is>
          <t>exclude</t>
        </is>
      </c>
      <c r="C112" s="4" t="inlineStr">
        <is>
          <t>Anton</t>
        </is>
      </c>
      <c r="D112" s="4" t="inlineStr">
        <is>
          <t>2020</t>
        </is>
      </c>
      <c r="E112" s="4" t="inlineStr">
        <is>
          <t>Anton, Christian and Mengel, Johannes and Mupepele, Anne-Christine and Steinicke, Henning and Schreiber, J\"urgen</t>
        </is>
      </c>
      <c r="F112" s="4" t="inlineStr">
        <is>
          <t>Biodiversit\"at und Management von Agrarlandschaften (2020)</t>
        </is>
      </c>
      <c r="G112" s="4" t="n"/>
      <c r="H112" s="4" t="n"/>
      <c r="I112" s="4" t="inlineStr">
        <is>
          <t>Multiple services</t>
        </is>
      </c>
      <c r="J112" s="4" t="n"/>
      <c r="K112" s="4" t="n"/>
      <c r="L112" s="4" t="n"/>
      <c r="M112" s="4" t="inlineStr"/>
      <c r="N112" s="4" t="inlineStr">
        <is>
          <t>Policy report</t>
        </is>
      </c>
    </row>
    <row r="113" hidden="1" ht="15" customHeight="1">
      <c r="A113" s="4" t="n">
        <v>112</v>
      </c>
      <c r="B113" s="5" t="inlineStr">
        <is>
          <t>exclude</t>
        </is>
      </c>
      <c r="C113" s="4" t="inlineStr">
        <is>
          <t>Brown</t>
        </is>
      </c>
      <c r="D113" s="4" t="inlineStr">
        <is>
          <t>2007</t>
        </is>
      </c>
      <c r="E113" s="4" t="inlineStr">
        <is>
          <t>Brown, Thomas and Bergstrom, John and Loomis, John</t>
        </is>
      </c>
      <c r="F113" s="4" t="inlineStr">
        <is>
          <t>Defining, valuing, and providing ecosystem goods and services</t>
        </is>
      </c>
      <c r="G113" s="4" t="n"/>
      <c r="H113" s="4" t="n"/>
      <c r="I113" s="4" t="inlineStr">
        <is>
          <t>Multiple services</t>
        </is>
      </c>
      <c r="J113" s="4" t="n"/>
      <c r="K113" s="4" t="n"/>
      <c r="L113" s="4" t="n"/>
      <c r="M113" s="4" t="inlineStr"/>
      <c r="N113" s="4" t="inlineStr">
        <is>
          <t>Framework</t>
        </is>
      </c>
    </row>
    <row r="114" hidden="1" ht="15" customHeight="1">
      <c r="A114" s="4" t="n">
        <v>113</v>
      </c>
      <c r="B114" s="5" t="inlineStr">
        <is>
          <t>exclude</t>
        </is>
      </c>
      <c r="C114" s="4" t="inlineStr">
        <is>
          <t>Hanley</t>
        </is>
      </c>
      <c r="D114" s="4" t="inlineStr">
        <is>
          <t>2019</t>
        </is>
      </c>
      <c r="E114" s="4" t="inlineStr">
        <is>
          <t>Hanley, Nick and Perrings, Charles</t>
        </is>
      </c>
      <c r="F114" s="4" t="inlineStr">
        <is>
          <t>The Economic Value of Biodiversity</t>
        </is>
      </c>
      <c r="G114" s="4" t="inlineStr">
        <is>
          <t>Annual Review of Resource Economics</t>
        </is>
      </c>
      <c r="H114" s="4" t="inlineStr">
        <is>
          <t>10.1146/annurev-resource-100518-093946</t>
        </is>
      </c>
      <c r="I114" s="4" t="inlineStr">
        <is>
          <t>Multiple services</t>
        </is>
      </c>
      <c r="J114" s="4" t="n"/>
      <c r="K114" s="4" t="n"/>
      <c r="L114" s="4" t="n"/>
      <c r="M114" s="4" t="inlineStr"/>
      <c r="N114" s="4" t="inlineStr">
        <is>
          <t>Review</t>
        </is>
      </c>
    </row>
    <row r="115" hidden="1" ht="15" customHeight="1">
      <c r="A115" s="4" t="n">
        <v>114</v>
      </c>
      <c r="B115" s="5" t="inlineStr">
        <is>
          <t>exclude</t>
        </is>
      </c>
      <c r="C115" s="4" t="inlineStr">
        <is>
          <t>Madureira</t>
        </is>
      </c>
      <c r="D115" s="4" t="inlineStr">
        <is>
          <t>2007</t>
        </is>
      </c>
      <c r="E115" s="4" t="inlineStr">
        <is>
          <t>Madureira, L\'ivia and Rambonilaza, Tina and Karpinski, Isabella</t>
        </is>
      </c>
      <c r="F115" s="4" t="inlineStr">
        <is>
          <t>Review of methods and evidence for economic valuation of agricultural non-commodity outputs and suggestions to facilitate its application to broader decisional contexts</t>
        </is>
      </c>
      <c r="G115" s="4" t="inlineStr">
        <is>
          <t>Agriculture, Ecosystems \&amp; Environment</t>
        </is>
      </c>
      <c r="H115" s="4" t="n"/>
      <c r="I115" s="4" t="inlineStr">
        <is>
          <t>Multiple services</t>
        </is>
      </c>
      <c r="J115" s="4" t="n"/>
      <c r="K115" s="4" t="n"/>
      <c r="L115" s="4" t="n"/>
      <c r="M115" s="4" t="inlineStr"/>
      <c r="N115" s="4" t="inlineStr">
        <is>
          <t>Methods review</t>
        </is>
      </c>
    </row>
    <row r="116" ht="15" customHeight="1">
      <c r="A116" s="4" t="n">
        <v>115</v>
      </c>
      <c r="B116" s="8" t="inlineStr">
        <is>
          <t>include</t>
        </is>
      </c>
      <c r="C116" s="4" t="inlineStr">
        <is>
          <t>Pimentel</t>
        </is>
      </c>
      <c r="D116" s="4" t="inlineStr">
        <is>
          <t>1997</t>
        </is>
      </c>
      <c r="E116" s="4" t="inlineStr">
        <is>
          <t>Pimentel, David and Houser, James and Preiss, Erika and White, Omar and Fang, Hope and Mesnick, Leslie and Barsky, Troy and Tariche, Stephanie and Schreck, Jerrod and Alpert, Sharon</t>
        </is>
      </c>
      <c r="F116" s="4" t="inlineStr">
        <is>
          <t>Economic and environmental benefits of biodiversity</t>
        </is>
      </c>
      <c r="G116" s="4" t="inlineStr">
        <is>
          <t>BioScience</t>
        </is>
      </c>
      <c r="H116" s="4" t="inlineStr">
        <is>
          <t>10.2307/1313097</t>
        </is>
      </c>
      <c r="I116" s="4" t="inlineStr">
        <is>
          <t>Multiple services</t>
        </is>
      </c>
      <c r="J116" s="4" t="inlineStr">
        <is>
          <t>Avoided cost / market price approximation (AC)</t>
        </is>
      </c>
      <c r="K116" s="4" t="inlineStr">
        <is>
          <t>USA</t>
        </is>
      </c>
      <c r="L116" s="4" t="inlineStr">
        <is>
          <t>National</t>
        </is>
      </c>
      <c r="M116" s="4" t="inlineStr">
        <is>
          <t>Main text (Section 3)</t>
        </is>
      </c>
      <c r="N116" s="4" t="inlineStr">
        <is>
          <t>Aggregate national estimates linking indicators to avoided-cost values; farm-level context indirect (scale: national) | Aggregate estimates</t>
        </is>
      </c>
    </row>
    <row r="117" hidden="1" ht="15" customHeight="1">
      <c r="A117" s="4" t="n">
        <v>116</v>
      </c>
      <c r="B117" s="5" t="inlineStr">
        <is>
          <t>exclude</t>
        </is>
      </c>
      <c r="C117" s="4" t="inlineStr">
        <is>
          <t>Plieninger</t>
        </is>
      </c>
      <c r="D117" s="4" t="inlineStr">
        <is>
          <t>2014</t>
        </is>
      </c>
      <c r="E117" s="4" t="inlineStr">
        <is>
          <t>Plieninger, Tobias and van der Horst, Dan and Schleyer, Christian and Bieling, Claudia</t>
        </is>
      </c>
      <c r="F117" s="4" t="inlineStr">
        <is>
          <t>Sustaining ecosystem services in cultural landscapes</t>
        </is>
      </c>
      <c r="G117" s="4" t="inlineStr">
        <is>
          <t>Ecology and Society</t>
        </is>
      </c>
      <c r="H117" s="4" t="n"/>
      <c r="I117" s="4" t="inlineStr">
        <is>
          <t>Multiple services</t>
        </is>
      </c>
      <c r="J117" s="4" t="n"/>
      <c r="K117" s="4" t="n"/>
      <c r="L117" s="4" t="n"/>
      <c r="M117" s="4" t="inlineStr"/>
      <c r="N117" s="4" t="inlineStr">
        <is>
          <t>Conceptual</t>
        </is>
      </c>
    </row>
    <row r="118" hidden="1" ht="15" customHeight="1">
      <c r="A118" s="4" t="n">
        <v>117</v>
      </c>
      <c r="B118" s="5" t="inlineStr">
        <is>
          <t>exclude</t>
        </is>
      </c>
      <c r="C118" s="4" t="inlineStr">
        <is>
          <t>Randall</t>
        </is>
      </c>
      <c r="D118" s="4" t="inlineStr">
        <is>
          <t>2007</t>
        </is>
      </c>
      <c r="E118" s="4" t="inlineStr">
        <is>
          <t>Randall, Alan</t>
        </is>
      </c>
      <c r="F118" s="4" t="inlineStr">
        <is>
          <t>A consistent valuation and pricing framework for non-commodity outputs: Progress and prospects</t>
        </is>
      </c>
      <c r="G118" s="4" t="inlineStr">
        <is>
          <t>Agriculture, Ecosystems \&amp; Environment</t>
        </is>
      </c>
      <c r="H118" s="4" t="n"/>
      <c r="I118" s="4" t="inlineStr">
        <is>
          <t>Multiple services</t>
        </is>
      </c>
      <c r="J118" s="4" t="n"/>
      <c r="K118" s="4" t="n"/>
      <c r="L118" s="4" t="n"/>
      <c r="M118" s="4" t="inlineStr"/>
      <c r="N118" s="4" t="inlineStr">
        <is>
          <t>Framework</t>
        </is>
      </c>
    </row>
    <row r="119" hidden="1" ht="15" customHeight="1">
      <c r="A119" s="4" t="n">
        <v>118</v>
      </c>
      <c r="B119" s="5" t="inlineStr">
        <is>
          <t>exclude</t>
        </is>
      </c>
      <c r="C119" s="4" t="inlineStr">
        <is>
          <t>Hynes</t>
        </is>
      </c>
      <c r="D119" s="4" t="inlineStr">
        <is>
          <t>2007</t>
        </is>
      </c>
      <c r="E119" s="4" t="inlineStr">
        <is>
          <t>Hynes, Stephen and Buckley, Cathal and van Rensburg, Tom</t>
        </is>
      </c>
      <c r="F119" s="4" t="inlineStr">
        <is>
          <t>Recreational Pursuits on Marginal Farm Land: A Discrete-Choice Model of Irish Farm Commonage Recreation</t>
        </is>
      </c>
      <c r="G119" s="4" t="n"/>
      <c r="H119" s="4" t="n"/>
      <c r="I119" s="4" t="inlineStr">
        <is>
          <t>Other</t>
        </is>
      </c>
      <c r="J119" s="4" t="n"/>
      <c r="K119" s="4" t="n"/>
      <c r="L119" s="4" t="n"/>
      <c r="M119" s="4" t="inlineStr"/>
      <c r="N119" s="4" t="inlineStr">
        <is>
          <t>Recreation, not a target service</t>
        </is>
      </c>
    </row>
    <row r="120" hidden="1" ht="15" customHeight="1">
      <c r="A120" s="4" t="n">
        <v>119</v>
      </c>
      <c r="B120" s="5" t="inlineStr">
        <is>
          <t>exclude</t>
        </is>
      </c>
      <c r="C120" s="4" t="inlineStr">
        <is>
          <t>Mayer</t>
        </is>
      </c>
      <c r="D120" s="4" t="inlineStr">
        <is>
          <t>2010</t>
        </is>
      </c>
      <c r="E120" s="4" t="inlineStr">
        <is>
          <t>Mayer, Marius and M\"uller, Martin and Woltering, Manuel and Arnegger, Julius and Job, Hubert</t>
        </is>
      </c>
      <c r="F120" s="4" t="inlineStr">
        <is>
          <t>The economic impact of tourism in six German national parks</t>
        </is>
      </c>
      <c r="G120" s="4" t="inlineStr">
        <is>
          <t>Landscape and Urban Planning</t>
        </is>
      </c>
      <c r="H120" s="4" t="n"/>
      <c r="I120" s="4" t="inlineStr">
        <is>
          <t>Other</t>
        </is>
      </c>
      <c r="J120" s="4" t="n"/>
      <c r="K120" s="4" t="n"/>
      <c r="L120" s="4" t="n"/>
      <c r="M120" s="4" t="inlineStr"/>
      <c r="N120" s="4" t="inlineStr">
        <is>
          <t>Tourism, not a target service</t>
        </is>
      </c>
    </row>
    <row r="121" hidden="1" ht="15" customHeight="1">
      <c r="A121" s="4" t="n">
        <v>120</v>
      </c>
      <c r="B121" s="5" t="inlineStr">
        <is>
          <t>exclude</t>
        </is>
      </c>
      <c r="C121" s="4" t="inlineStr">
        <is>
          <t>Swinton</t>
        </is>
      </c>
      <c r="D121" s="4" t="inlineStr">
        <is>
          <t>2007</t>
        </is>
      </c>
      <c r="E121" s="4" t="inlineStr">
        <is>
          <t>Swinton, Scott M. and Lupi, Frank and Robertson, G. Philip and Hamilton, S. K.</t>
        </is>
      </c>
      <c r="F121" s="4" t="inlineStr">
        <is>
          <t>Ecosystem services and agriculture: Cultivating agricultural ecosystems for diverse benefits</t>
        </is>
      </c>
      <c r="G121" s="4" t="inlineStr">
        <is>
          <t>Ecological Economics</t>
        </is>
      </c>
      <c r="H121" s="4" t="n"/>
      <c r="I121" s="4" t="n"/>
      <c r="J121" s="4" t="n"/>
      <c r="K121" s="4" t="n"/>
      <c r="L121" s="4" t="n"/>
      <c r="M121" s="4" t="inlineStr"/>
      <c r="N121" s="4" t="inlineStr">
        <is>
          <t>Conceptual overview</t>
        </is>
      </c>
    </row>
    <row r="122" hidden="1" ht="15" customHeight="1">
      <c r="A122" s="4" t="n">
        <v>121</v>
      </c>
      <c r="B122" s="5" t="inlineStr">
        <is>
          <t>exclude</t>
        </is>
      </c>
      <c r="C122" s="4" t="inlineStr">
        <is>
          <t>Turner</t>
        </is>
      </c>
      <c r="D122" s="4" t="inlineStr">
        <is>
          <t>2016</t>
        </is>
      </c>
      <c r="E122" s="4" t="inlineStr">
        <is>
          <t>Turner, Katrine Grace and Anderson, Sharolyn and Gonzales-Chang, Mauricio and Costanza, Robert and Courville, Sasha and Dalgaard, Tommy and Dominati, Estelle and Kubiszewski, Ida and Ogilvy, Sue and Porfirio, Luciana and Ratna, Nazmun and Sandhu, Harpinder and Sutton, Paul C. and Svenning, Jens-Christian and Turner, Graham Mark and Varennes, Yann-David and Voinov, Alexey and Wratten, Stephen</t>
        </is>
      </c>
      <c r="F122" s="4" t="inlineStr">
        <is>
          <t>A review of methods, data, and models to assess changes in the value of ecosystem services from land degradation and restoration</t>
        </is>
      </c>
      <c r="G122" s="4" t="inlineStr">
        <is>
          <t>Ecological Modelling</t>
        </is>
      </c>
      <c r="H122" s="4" t="n"/>
      <c r="I122" s="4" t="n"/>
      <c r="J122" s="4" t="n"/>
      <c r="K122" s="4" t="n"/>
      <c r="L122" s="4" t="n"/>
      <c r="M122" s="4" t="inlineStr"/>
      <c r="N122" s="4" t="inlineStr">
        <is>
          <t>Methods review</t>
        </is>
      </c>
    </row>
    <row r="123" hidden="1" ht="15" customHeight="1">
      <c r="A123" s="4" t="n">
        <v>122</v>
      </c>
      <c r="B123" s="5" t="inlineStr">
        <is>
          <t>exclude</t>
        </is>
      </c>
      <c r="C123" s="4" t="inlineStr">
        <is>
          <t>Zhang</t>
        </is>
      </c>
      <c r="D123" s="4" t="inlineStr">
        <is>
          <t>2007</t>
        </is>
      </c>
      <c r="E123" s="4" t="inlineStr">
        <is>
          <t>Zhang, W.. and Ricketts, Taylor H. and Kremen, Claire and Carney, Karen and Swinton, Scott M.</t>
        </is>
      </c>
      <c r="F123" s="4" t="inlineStr">
        <is>
          <t>Ecosystem services and dis-services to agriculture</t>
        </is>
      </c>
      <c r="G123" s="4" t="inlineStr">
        <is>
          <t>Ecological Economics</t>
        </is>
      </c>
      <c r="H123" s="4" t="inlineStr">
        <is>
          <t>10.1016/j.ecolecon.2007.02.024</t>
        </is>
      </c>
      <c r="I123" s="4" t="n"/>
      <c r="J123" s="4" t="n"/>
      <c r="K123" s="4" t="n"/>
      <c r="L123" s="4" t="n"/>
      <c r="M123" s="4" t="inlineStr"/>
      <c r="N123" s="4" t="inlineStr">
        <is>
          <t>Conceptual (services and dis-services)</t>
        </is>
      </c>
    </row>
  </sheetData>
  <autoFilter ref="A1:O123">
    <filterColumn colId="1" hiddenButton="0" showButton="1">
      <filters>
        <filter val="include"/>
      </filters>
    </filterColumn>
  </autoFilter>
  <dataValidations count="1">
    <dataValidation sqref="B2:B123" showDropDown="0" showInputMessage="0" showErrorMessage="0" allowBlank="1" type="list">
      <formula1>"include,exclude"</formula1>
      <formula2>0</formula2>
    </dataValidation>
  </dataValidation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B13"/>
  <sheetViews>
    <sheetView zoomScaleNormal="100" workbookViewId="0">
      <selection activeCell="A1" sqref="A1"/>
    </sheetView>
  </sheetViews>
  <sheetFormatPr baseColWidth="10" defaultColWidth="8.6640625" defaultRowHeight="14.4"/>
  <cols>
    <col width="52" customWidth="1" min="1" max="1"/>
    <col width="14" customWidth="1" min="2" max="2"/>
  </cols>
  <sheetData>
    <row r="1" ht="15" customHeight="1">
      <c r="A1" s="9" t="inlineStr">
        <is>
          <t>Service</t>
        </is>
      </c>
      <c r="B1" s="9" t="inlineStr">
        <is>
          <t>Included (n)</t>
        </is>
      </c>
    </row>
    <row r="2" ht="15" customHeight="1">
      <c r="A2" s="10" t="inlineStr">
        <is>
          <t>Pollination</t>
        </is>
      </c>
      <c r="B2" s="10">
        <f>COUNTIFS(S2_review_studies!$B$2:$B$123,"include",S2_review_studies!$I$2:$I$123,"Pollination")</f>
        <v/>
      </c>
    </row>
    <row r="3" ht="15" customHeight="1">
      <c r="A3" s="10" t="inlineStr">
        <is>
          <t>Pollination / Natural pest control</t>
        </is>
      </c>
      <c r="B3" s="10">
        <f>COUNTIFS(S2_review_studies!$B$2:$B$123,"include",S2_review_studies!$I$2:$I$123,"Pollination / Natural pest control")</f>
        <v/>
      </c>
    </row>
    <row r="4" ht="15" customHeight="1">
      <c r="A4" s="10" t="inlineStr">
        <is>
          <t>Natural pest control</t>
        </is>
      </c>
      <c r="B4" s="10">
        <f>COUNTIFS(S2_review_studies!$B$2:$B$123,"include",S2_review_studies!$I$2:$I$123,"Natural pest control")</f>
        <v/>
      </c>
    </row>
    <row r="5" ht="15" customHeight="1">
      <c r="A5" s="10" t="inlineStr">
        <is>
          <t>Natural pest control / Soil-related water purification</t>
        </is>
      </c>
      <c r="B5" s="10">
        <f>COUNTIFS(S2_review_studies!$B$2:$B$123,"include",S2_review_studies!$I$2:$I$123,"Natural pest control / Soil-related water purification")</f>
        <v/>
      </c>
    </row>
    <row r="6" ht="15" customHeight="1">
      <c r="A6" s="10" t="inlineStr">
        <is>
          <t>Soil-related water purification</t>
        </is>
      </c>
      <c r="B6" s="10">
        <f>COUNTIFS(S2_review_studies!$B$2:$B$123,"include",S2_review_studies!$I$2:$I$123,"Soil-related water purification")</f>
        <v/>
      </c>
    </row>
    <row r="7" ht="15" customHeight="1">
      <c r="A7" s="10" t="inlineStr">
        <is>
          <t>Multiple services</t>
        </is>
      </c>
      <c r="B7" s="10">
        <f>COUNTIFS(S2_review_studies!$B$2:$B$123,"include",S2_review_studies!$I$2:$I$123,"Multiple services")</f>
        <v/>
      </c>
    </row>
    <row r="8" ht="15" customHeight="1">
      <c r="A8" s="10" t="inlineStr">
        <is>
          <t>Climate / air regulation</t>
        </is>
      </c>
      <c r="B8" s="10">
        <f>COUNTIFS(S2_review_studies!$B$2:$B$123,"include",S2_review_studies!$I$2:$I$123,"Climate / air regulation")</f>
        <v/>
      </c>
    </row>
    <row r="9" ht="15" customHeight="1">
      <c r="A9" s="10" t="inlineStr">
        <is>
          <t>Other</t>
        </is>
      </c>
      <c r="B9" s="10">
        <f>COUNTIFS(S2_review_studies!$B$2:$B$123,"include",S2_review_studies!$I$2:$I$123,"Other")</f>
        <v/>
      </c>
    </row>
    <row r="10" ht="15" customHeight="1">
      <c r="A10" s="10" t="inlineStr">
        <is>
          <t>Total included</t>
        </is>
      </c>
      <c r="B10" s="10">
        <f>COUNTIF(S2_review_studies!$B$2:$B$123,"include")</f>
        <v/>
      </c>
    </row>
    <row r="11" ht="15" customHeight="1">
      <c r="A11" s="10" t="n"/>
      <c r="B11" s="10" t="n"/>
    </row>
    <row r="12" ht="15" customHeight="1">
      <c r="A12" s="10" t="inlineStr">
        <is>
          <t>Discussed in the main text (of included)</t>
        </is>
      </c>
      <c r="B12" s="10">
        <f>COUNTIFS(S2_review_studies!$B$2:$B$123,"include",S2_review_studies!$M$2:$M$123,"Main text*")</f>
        <v/>
      </c>
    </row>
    <row r="13" ht="15" customHeight="1">
      <c r="A13" s="10" t="inlineStr">
        <is>
          <t>Not discussed in the main text (of included)</t>
        </is>
      </c>
      <c r="B13" s="10">
        <f>COUNTIFS(S2_review_studies!$B$2:$B$123,"include",S2_review_studies!$M$2:$M$123,"&lt;&gt;Main text*")</f>
        <v/>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2026-09-22T19:33:27Z</dcterms:created>
  <dcterms:modified xmlns:dcterms="http://purl.org/dc/terms/" xmlns:xsi="http://www.w3.org/2001/XMLSchema-instance" xsi:type="dcterms:W3CDTF">2026-10-23T07:14:27Z</dcterms:modified>
  <cp:lastModifiedBy>Adrian Lüdtke</cp:lastModifiedBy>
  <cp:revision>0</cp:revision>
</cp:coreProperties>
</file>